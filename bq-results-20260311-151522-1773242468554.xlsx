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q-results-20260311-151522-1773" sheetId="1" r:id="rId5"/>
    <sheet state="visible" name="Sheet1" sheetId="2" r:id="rId6"/>
  </sheets>
  <definedNames>
    <definedName hidden="1" localSheetId="0" name="_xlnm._FilterDatabase">'bq-results-20260311-151522-1773'!$A$1:$F$1000</definedName>
    <definedName hidden="1" localSheetId="1" name="_xlnm._FilterDatabase">Sheet1!$A$1:$J$16</definedName>
  </definedNames>
  <calcPr/>
</workbook>
</file>

<file path=xl/sharedStrings.xml><?xml version="1.0" encoding="utf-8"?>
<sst xmlns="http://schemas.openxmlformats.org/spreadsheetml/2006/main" count="31" uniqueCount="12">
  <si>
    <t>Year</t>
  </si>
  <si>
    <t>Month</t>
  </si>
  <si>
    <t>Day</t>
  </si>
  <si>
    <t>Total_Antlered</t>
  </si>
  <si>
    <t>Combined_Weekly_Avg</t>
  </si>
  <si>
    <t>percent_of_avg</t>
  </si>
  <si>
    <t>TimeStamp</t>
  </si>
  <si>
    <t>Week of the Season</t>
  </si>
  <si>
    <t>Year_Week_of_season</t>
  </si>
  <si>
    <t>Harvest weapon</t>
  </si>
  <si>
    <t>Gun</t>
  </si>
  <si>
    <t>Bow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</si>
</sst>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/&quot;dd&quot;/&quot;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bq-results-20260311-151522-177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Harvest Bucks vs Year-Week of Season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Sheet1!$F$2:$F$16</c:f>
            </c:strRef>
          </c:cat>
          <c:val>
            <c:numRef>
              <c:f>Sheet1!$H$2:$H$16</c:f>
              <c:numCache/>
            </c:numRef>
          </c:val>
        </c:ser>
        <c:axId val="818364571"/>
        <c:axId val="57121033"/>
      </c:barChart>
      <c:catAx>
        <c:axId val="818364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Year-Week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121033"/>
      </c:catAx>
      <c:valAx>
        <c:axId val="571210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Buck Harvest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83645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685800</xdr:colOff>
      <xdr:row>18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00" displayName="Table1" name="Table1" id="1">
  <autoFilter ref="$A$1:$F$1000">
    <filterColumn colId="0">
      <filters>
        <filter val="2024"/>
      </filters>
    </filterColumn>
  </autoFilter>
  <tableColumns count="6">
    <tableColumn name="Year" id="1"/>
    <tableColumn name="Month" id="2"/>
    <tableColumn name="Day" id="3"/>
    <tableColumn name="Total_Antlered" id="4"/>
    <tableColumn name="Combined_Weekly_Avg" id="5"/>
    <tableColumn name="percent_of_avg" id="6"/>
  </tableColumns>
  <tableStyleInfo name="bq-results-20260311-151522-1773-style" showColumnStripes="0" showFirstColumn="1" showLastColumn="1" showRowStripes="1"/>
</table>
</file>

<file path=xl/tables/table2.xml><?xml version="1.0" encoding="utf-8"?>
<table xmlns="http://schemas.openxmlformats.org/spreadsheetml/2006/main" ref="A1:J16" displayName="Table2" name="Table2" id="2">
  <autoFilter ref="$A$1:$J$16">
    <filterColumn colId="4">
      <filters>
        <filter val="6"/>
        <filter val="8"/>
        <filter val="9"/>
      </filters>
    </filterColumn>
  </autoFilter>
  <tableColumns count="10">
    <tableColumn name="TimeStamp" id="1"/>
    <tableColumn name="Year" id="2"/>
    <tableColumn name="Month" id="3"/>
    <tableColumn name="Day" id="4"/>
    <tableColumn name="Week of the Season" id="5"/>
    <tableColumn name="Year_Week_of_season" id="6"/>
    <tableColumn name="Harvest weapon" id="7"/>
    <tableColumn name="Total_Antlered" id="8"/>
    <tableColumn name="Combined_Weekly_Avg" id="9"/>
    <tableColumn name="percent_of_avg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13"/>
    <col customWidth="1" min="5" max="5" width="22.63"/>
    <col customWidth="1" min="6" max="6" width="1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2024.0</v>
      </c>
      <c r="B2" s="2">
        <v>12.0</v>
      </c>
      <c r="C2" s="2">
        <v>3.0</v>
      </c>
      <c r="D2" s="2">
        <v>4084.0</v>
      </c>
      <c r="E2" s="2">
        <v>2514.0</v>
      </c>
      <c r="F2" s="2">
        <v>162.450278440731</v>
      </c>
    </row>
    <row r="3" ht="22.5" customHeight="1">
      <c r="A3" s="2">
        <v>2024.0</v>
      </c>
      <c r="B3" s="2">
        <v>11.0</v>
      </c>
      <c r="C3" s="2">
        <v>12.0</v>
      </c>
      <c r="D3" s="2">
        <v>3222.0</v>
      </c>
      <c r="E3" s="2">
        <v>1257.0</v>
      </c>
      <c r="F3" s="2">
        <v>256.324582338902</v>
      </c>
    </row>
    <row r="4" ht="22.5" customHeight="1">
      <c r="A4" s="2">
        <v>2024.0</v>
      </c>
      <c r="B4" s="2">
        <v>12.0</v>
      </c>
      <c r="C4" s="2">
        <v>10.0</v>
      </c>
      <c r="D4" s="2">
        <v>3130.0</v>
      </c>
      <c r="E4" s="2">
        <v>2514.0</v>
      </c>
      <c r="F4" s="2">
        <v>124.502784407319</v>
      </c>
    </row>
    <row r="5" ht="22.5" hidden="1" customHeight="1">
      <c r="A5" s="2">
        <v>2025.0</v>
      </c>
      <c r="B5" s="2">
        <v>12.0</v>
      </c>
      <c r="C5" s="2">
        <v>2.0</v>
      </c>
      <c r="D5" s="2">
        <v>3943.0</v>
      </c>
      <c r="E5" s="2">
        <v>2514.0</v>
      </c>
      <c r="F5" s="2">
        <v>156.84168655529</v>
      </c>
    </row>
    <row r="6" ht="22.5" hidden="1" customHeight="1">
      <c r="A6" s="2">
        <v>2023.0</v>
      </c>
      <c r="B6" s="2">
        <v>11.0</v>
      </c>
      <c r="C6" s="2">
        <v>7.0</v>
      </c>
      <c r="D6" s="2">
        <v>3704.0</v>
      </c>
      <c r="E6" s="2">
        <v>2514.0</v>
      </c>
      <c r="F6" s="2">
        <v>147.334924423229</v>
      </c>
    </row>
    <row r="7" ht="22.5" hidden="1" customHeight="1">
      <c r="A7" s="2">
        <v>2023.0</v>
      </c>
      <c r="B7" s="2">
        <v>11.0</v>
      </c>
      <c r="C7" s="2">
        <v>28.0</v>
      </c>
      <c r="D7" s="2">
        <v>3581.0</v>
      </c>
      <c r="E7" s="2">
        <v>2514.0</v>
      </c>
      <c r="F7" s="2">
        <v>142.442322991249</v>
      </c>
    </row>
    <row r="8" ht="22.5" hidden="1" customHeight="1">
      <c r="A8" s="2">
        <v>2025.0</v>
      </c>
      <c r="B8" s="2">
        <v>12.0</v>
      </c>
      <c r="C8" s="2">
        <v>9.0</v>
      </c>
      <c r="D8" s="2">
        <v>3545.0</v>
      </c>
      <c r="E8" s="2">
        <v>2514.0</v>
      </c>
      <c r="F8" s="2">
        <v>141.010342084327</v>
      </c>
    </row>
    <row r="9" ht="22.5" hidden="1" customHeight="1">
      <c r="A9" s="2">
        <v>2025.0</v>
      </c>
      <c r="B9" s="2">
        <v>11.0</v>
      </c>
      <c r="C9" s="2">
        <v>11.0</v>
      </c>
      <c r="D9" s="2">
        <v>3267.0</v>
      </c>
      <c r="E9" s="2">
        <v>2514.0</v>
      </c>
      <c r="F9" s="2">
        <v>129.952267303102</v>
      </c>
    </row>
    <row r="10" ht="22.5" customHeight="1">
      <c r="A10" s="2">
        <v>2024.0</v>
      </c>
      <c r="B10" s="2">
        <v>11.0</v>
      </c>
      <c r="C10" s="2">
        <v>19.0</v>
      </c>
      <c r="D10" s="2">
        <v>2909.0</v>
      </c>
      <c r="E10" s="2">
        <v>2514.0</v>
      </c>
      <c r="F10" s="2">
        <v>115.712012728719</v>
      </c>
    </row>
    <row r="11" ht="22.5" hidden="1" customHeight="1">
      <c r="A11" s="2">
        <v>2023.0</v>
      </c>
      <c r="B11" s="2">
        <v>12.0</v>
      </c>
      <c r="C11" s="2">
        <v>5.0</v>
      </c>
      <c r="D11" s="2">
        <v>3032.0</v>
      </c>
      <c r="E11" s="2">
        <v>2514.0</v>
      </c>
      <c r="F11" s="2">
        <v>120.6046141607</v>
      </c>
    </row>
    <row r="12" ht="22.5" hidden="1" customHeight="1">
      <c r="A12" s="2">
        <v>2025.0</v>
      </c>
      <c r="B12" s="2">
        <v>11.0</v>
      </c>
      <c r="C12" s="2">
        <v>4.0</v>
      </c>
      <c r="D12" s="2">
        <v>2978.0</v>
      </c>
      <c r="E12" s="2">
        <v>2514.0</v>
      </c>
      <c r="F12" s="2">
        <v>118.456642800318</v>
      </c>
    </row>
    <row r="13" ht="22.5" hidden="1" customHeight="1">
      <c r="A13" s="2">
        <v>2023.0</v>
      </c>
      <c r="B13" s="2">
        <v>11.0</v>
      </c>
      <c r="C13" s="2">
        <v>14.0</v>
      </c>
      <c r="D13" s="2">
        <v>2961.0</v>
      </c>
      <c r="E13" s="2">
        <v>2514.0</v>
      </c>
      <c r="F13" s="2">
        <v>117.780429594272</v>
      </c>
    </row>
    <row r="14" ht="22.5" customHeight="1">
      <c r="A14" s="2">
        <v>2024.0</v>
      </c>
      <c r="B14" s="2">
        <v>11.0</v>
      </c>
      <c r="C14" s="2">
        <v>5.0</v>
      </c>
      <c r="D14" s="2">
        <v>2608.0</v>
      </c>
      <c r="E14" s="2">
        <v>1257.0</v>
      </c>
      <c r="F14" s="2">
        <v>207.478122513922</v>
      </c>
    </row>
    <row r="15" ht="22.5" customHeight="1">
      <c r="A15" s="2">
        <v>2024.0</v>
      </c>
      <c r="B15" s="2">
        <v>10.0</v>
      </c>
      <c r="C15" s="2">
        <v>29.0</v>
      </c>
      <c r="D15" s="2">
        <v>1474.0</v>
      </c>
      <c r="E15" s="2">
        <v>1257.0</v>
      </c>
      <c r="F15" s="2">
        <v>117.263325377883</v>
      </c>
    </row>
    <row r="16" ht="22.5" hidden="1" customHeight="1">
      <c r="A16" s="2">
        <v>2023.0</v>
      </c>
      <c r="B16" s="2">
        <v>11.0</v>
      </c>
      <c r="C16" s="2">
        <v>21.0</v>
      </c>
      <c r="D16" s="2">
        <v>2707.0</v>
      </c>
      <c r="E16" s="2">
        <v>2514.0</v>
      </c>
      <c r="F16" s="2">
        <v>107.677008750994</v>
      </c>
    </row>
    <row r="17" ht="22.5" hidden="1" customHeight="1">
      <c r="A17" s="2">
        <v>2025.0</v>
      </c>
      <c r="B17" s="2">
        <v>11.0</v>
      </c>
      <c r="C17" s="2">
        <v>25.0</v>
      </c>
      <c r="D17" s="2">
        <v>1973.0</v>
      </c>
      <c r="E17" s="2">
        <v>2514.0</v>
      </c>
      <c r="F17" s="2">
        <v>78.4805091487669</v>
      </c>
    </row>
    <row r="18" ht="22.5" hidden="1" customHeight="1">
      <c r="A18" s="2">
        <v>2025.0</v>
      </c>
      <c r="B18" s="2">
        <v>11.0</v>
      </c>
      <c r="C18" s="2">
        <v>18.0</v>
      </c>
      <c r="D18" s="2">
        <v>1888.0</v>
      </c>
      <c r="E18" s="2">
        <v>2514.0</v>
      </c>
      <c r="F18" s="2">
        <v>75.0994431185362</v>
      </c>
    </row>
    <row r="19" ht="22.5" customHeight="1">
      <c r="A19" s="2">
        <v>2024.0</v>
      </c>
      <c r="B19" s="2">
        <v>12.0</v>
      </c>
      <c r="C19" s="2">
        <v>23.0</v>
      </c>
      <c r="D19" s="2">
        <v>1132.0</v>
      </c>
      <c r="E19" s="2">
        <v>2514.0</v>
      </c>
      <c r="F19" s="2">
        <v>45.0278440731901</v>
      </c>
    </row>
    <row r="20" ht="22.5" hidden="1" customHeight="1">
      <c r="A20" s="2">
        <v>2025.0</v>
      </c>
      <c r="B20" s="2">
        <v>10.0</v>
      </c>
      <c r="C20" s="2">
        <v>28.0</v>
      </c>
      <c r="D20" s="2">
        <v>1857.0</v>
      </c>
      <c r="E20" s="2">
        <v>2514.0</v>
      </c>
      <c r="F20" s="2">
        <v>73.8663484486873</v>
      </c>
    </row>
    <row r="21" ht="22.5" hidden="1" customHeight="1">
      <c r="A21" s="2">
        <v>2023.0</v>
      </c>
      <c r="B21" s="2">
        <v>10.0</v>
      </c>
      <c r="C21" s="2">
        <v>31.0</v>
      </c>
      <c r="D21" s="2">
        <v>1374.0</v>
      </c>
      <c r="E21" s="2">
        <v>2514.0</v>
      </c>
      <c r="F21" s="2">
        <v>54.653937947494</v>
      </c>
    </row>
    <row r="22" ht="22.5" customHeight="1">
      <c r="A22" s="2">
        <v>2024.0</v>
      </c>
      <c r="B22" s="2">
        <v>10.0</v>
      </c>
      <c r="C22" s="2">
        <v>22.0</v>
      </c>
      <c r="D22" s="2">
        <v>943.0</v>
      </c>
      <c r="E22" s="2">
        <v>1257.0</v>
      </c>
      <c r="F22" s="2">
        <v>75.0198886237072</v>
      </c>
    </row>
    <row r="23" ht="22.5" hidden="1" customHeight="1">
      <c r="A23" s="2">
        <v>2023.0</v>
      </c>
      <c r="B23" s="2">
        <v>12.0</v>
      </c>
      <c r="C23" s="2">
        <v>19.0</v>
      </c>
      <c r="D23" s="2">
        <v>1176.0</v>
      </c>
      <c r="E23" s="2">
        <v>2514.0</v>
      </c>
      <c r="F23" s="2">
        <v>46.7780429594272</v>
      </c>
    </row>
    <row r="24" ht="22.5" customHeight="1">
      <c r="A24" s="2">
        <v>2024.0</v>
      </c>
      <c r="B24" s="2">
        <v>1.0</v>
      </c>
      <c r="C24" s="2">
        <v>9.0</v>
      </c>
      <c r="D24" s="2">
        <v>863.0</v>
      </c>
      <c r="E24" s="2">
        <v>2514.0</v>
      </c>
      <c r="F24" s="2">
        <v>34.3277645186953</v>
      </c>
    </row>
    <row r="25" ht="22.5" customHeight="1">
      <c r="A25" s="2">
        <v>2024.0</v>
      </c>
      <c r="B25" s="2">
        <v>10.0</v>
      </c>
      <c r="C25" s="2">
        <v>15.0</v>
      </c>
      <c r="D25" s="2">
        <v>618.0</v>
      </c>
      <c r="E25" s="2">
        <v>1257.0</v>
      </c>
      <c r="F25" s="2">
        <v>49.1646778042959</v>
      </c>
    </row>
    <row r="26" ht="22.5" hidden="1" customHeight="1">
      <c r="A26" s="2">
        <v>2025.0</v>
      </c>
      <c r="B26" s="2">
        <v>12.0</v>
      </c>
      <c r="C26" s="2">
        <v>23.0</v>
      </c>
      <c r="D26" s="2">
        <v>1106.0</v>
      </c>
      <c r="E26" s="2">
        <v>2514.0</v>
      </c>
      <c r="F26" s="2">
        <v>43.9936356404136</v>
      </c>
    </row>
    <row r="27" ht="22.5" hidden="1" customHeight="1">
      <c r="A27" s="2">
        <v>2026.0</v>
      </c>
      <c r="B27" s="2">
        <v>1.0</v>
      </c>
      <c r="C27" s="2">
        <v>6.0</v>
      </c>
      <c r="D27" s="2">
        <v>1057.0</v>
      </c>
      <c r="E27" s="2">
        <v>2514.0</v>
      </c>
      <c r="F27" s="2">
        <v>42.0445505171042</v>
      </c>
    </row>
    <row r="28" ht="22.5" hidden="1" customHeight="1">
      <c r="A28" s="2">
        <v>2025.0</v>
      </c>
      <c r="B28" s="2">
        <v>1.0</v>
      </c>
      <c r="C28" s="2">
        <v>7.0</v>
      </c>
      <c r="D28" s="2">
        <v>995.0</v>
      </c>
      <c r="E28" s="2">
        <v>2514.0</v>
      </c>
      <c r="F28" s="2">
        <v>39.5783611774065</v>
      </c>
    </row>
    <row r="29" ht="22.5" hidden="1" customHeight="1">
      <c r="A29" s="2">
        <v>2025.0</v>
      </c>
      <c r="B29" s="2">
        <v>10.0</v>
      </c>
      <c r="C29" s="2">
        <v>15.0</v>
      </c>
      <c r="D29" s="2">
        <v>784.0</v>
      </c>
      <c r="E29" s="2">
        <v>2514.0</v>
      </c>
      <c r="F29" s="2">
        <v>31.1853619729514</v>
      </c>
    </row>
    <row r="30" ht="22.5" hidden="1" customHeight="1">
      <c r="A30" s="2">
        <v>2023.0</v>
      </c>
      <c r="B30" s="2">
        <v>10.0</v>
      </c>
      <c r="C30" s="2">
        <v>3.0</v>
      </c>
      <c r="D30" s="2">
        <v>497.0</v>
      </c>
      <c r="E30" s="2">
        <v>1257.0</v>
      </c>
      <c r="F30" s="2">
        <v>39.538583929992</v>
      </c>
    </row>
    <row r="31" ht="22.5" customHeight="1">
      <c r="A31" s="2">
        <v>2024.0</v>
      </c>
      <c r="B31" s="2">
        <v>11.0</v>
      </c>
      <c r="C31" s="2">
        <v>26.0</v>
      </c>
      <c r="D31" s="2">
        <v>582.0</v>
      </c>
      <c r="E31" s="2">
        <v>2514.0</v>
      </c>
      <c r="F31" s="2">
        <v>23.1503579952267</v>
      </c>
    </row>
    <row r="32" ht="22.5" hidden="1" customHeight="1">
      <c r="A32" s="2">
        <v>2025.0</v>
      </c>
      <c r="B32" s="2">
        <v>10.0</v>
      </c>
      <c r="C32" s="2">
        <v>21.0</v>
      </c>
      <c r="D32" s="2">
        <v>692.0</v>
      </c>
      <c r="E32" s="2">
        <v>2514.0</v>
      </c>
      <c r="F32" s="2">
        <v>27.5258552108194</v>
      </c>
    </row>
    <row r="33" ht="22.5" hidden="1" customHeight="1">
      <c r="A33" s="2">
        <v>2023.0</v>
      </c>
      <c r="B33" s="2">
        <v>10.0</v>
      </c>
      <c r="C33" s="2">
        <v>24.0</v>
      </c>
      <c r="D33" s="2">
        <v>811.0</v>
      </c>
      <c r="E33" s="2">
        <v>2514.0</v>
      </c>
      <c r="F33" s="2">
        <v>32.2593476531424</v>
      </c>
    </row>
    <row r="34" ht="22.5" customHeight="1">
      <c r="A34" s="2">
        <v>2024.0</v>
      </c>
      <c r="B34" s="2">
        <v>10.0</v>
      </c>
      <c r="C34" s="2">
        <v>8.0</v>
      </c>
      <c r="D34" s="2">
        <v>560.0</v>
      </c>
      <c r="E34" s="2">
        <v>1257.0</v>
      </c>
      <c r="F34" s="2">
        <v>44.5505171042163</v>
      </c>
    </row>
    <row r="35" ht="22.5" hidden="1" customHeight="1">
      <c r="A35" s="2">
        <v>2025.0</v>
      </c>
      <c r="B35" s="2">
        <v>10.0</v>
      </c>
      <c r="C35" s="2">
        <v>1.0</v>
      </c>
      <c r="D35" s="2">
        <v>531.0</v>
      </c>
      <c r="E35" s="2">
        <v>1257.0</v>
      </c>
      <c r="F35" s="2">
        <v>42.2434367541766</v>
      </c>
    </row>
    <row r="36" ht="22.5" hidden="1" customHeight="1">
      <c r="A36" s="2">
        <v>2023.0</v>
      </c>
      <c r="B36" s="2">
        <v>10.0</v>
      </c>
      <c r="C36" s="2">
        <v>10.0</v>
      </c>
      <c r="D36" s="2">
        <v>778.0</v>
      </c>
      <c r="E36" s="2">
        <v>2514.0</v>
      </c>
      <c r="F36" s="2">
        <v>30.9466984884645</v>
      </c>
    </row>
    <row r="37" ht="22.5" hidden="1" customHeight="1">
      <c r="A37" s="2">
        <v>2025.0</v>
      </c>
      <c r="B37" s="2">
        <v>10.0</v>
      </c>
      <c r="C37" s="2">
        <v>8.0</v>
      </c>
      <c r="D37" s="2">
        <v>424.0</v>
      </c>
      <c r="E37" s="2">
        <v>1257.0</v>
      </c>
      <c r="F37" s="2">
        <v>33.7311058074781</v>
      </c>
    </row>
    <row r="38" ht="22.5" hidden="1" customHeight="1">
      <c r="A38" s="2">
        <v>2023.0</v>
      </c>
      <c r="B38" s="2">
        <v>10.0</v>
      </c>
      <c r="C38" s="2">
        <v>17.0</v>
      </c>
      <c r="D38" s="2">
        <v>583.0</v>
      </c>
      <c r="E38" s="2">
        <v>2514.0</v>
      </c>
      <c r="F38" s="2">
        <v>23.1901352426412</v>
      </c>
    </row>
    <row r="39" ht="22.5" customHeight="1">
      <c r="A39" s="2">
        <v>2024.0</v>
      </c>
      <c r="B39" s="2">
        <v>10.0</v>
      </c>
      <c r="C39" s="2">
        <v>1.0</v>
      </c>
      <c r="D39" s="2">
        <v>401.0</v>
      </c>
      <c r="E39" s="2">
        <v>1257.0</v>
      </c>
      <c r="F39" s="2">
        <v>31.901352426412</v>
      </c>
    </row>
    <row r="40" ht="22.5" hidden="1" customHeight="1">
      <c r="A40" s="2">
        <v>2026.0</v>
      </c>
      <c r="B40" s="2">
        <v>2.0</v>
      </c>
      <c r="C40" s="2">
        <v>1.0</v>
      </c>
      <c r="D40" s="2">
        <v>310.0</v>
      </c>
      <c r="E40" s="2">
        <v>2514.0</v>
      </c>
      <c r="F40" s="2">
        <v>12.3309466984884</v>
      </c>
    </row>
    <row r="41" ht="22.5" customHeight="1">
      <c r="A41" s="2">
        <v>2024.0</v>
      </c>
      <c r="B41" s="2">
        <v>1.0</v>
      </c>
      <c r="C41" s="2">
        <v>23.0</v>
      </c>
      <c r="D41" s="2">
        <v>274.0</v>
      </c>
      <c r="E41" s="2">
        <v>2514.0</v>
      </c>
      <c r="F41" s="2">
        <v>10.8989657915672</v>
      </c>
    </row>
    <row r="42" ht="22.5" hidden="1" customHeight="1">
      <c r="A42" s="2">
        <v>2025.0</v>
      </c>
      <c r="B42" s="2">
        <v>1.0</v>
      </c>
      <c r="C42" s="2">
        <v>14.0</v>
      </c>
      <c r="D42" s="2">
        <v>247.0</v>
      </c>
      <c r="E42" s="2">
        <v>2514.0</v>
      </c>
      <c r="F42" s="2">
        <v>9.82498011137629</v>
      </c>
    </row>
    <row r="43" ht="22.5" hidden="1" customHeight="1">
      <c r="A43" s="2">
        <v>2025.0</v>
      </c>
      <c r="B43" s="2">
        <v>1.0</v>
      </c>
      <c r="C43" s="2">
        <v>21.0</v>
      </c>
      <c r="D43" s="2">
        <v>189.0</v>
      </c>
      <c r="E43" s="2">
        <v>2514.0</v>
      </c>
      <c r="F43" s="2">
        <v>7.51789976133651</v>
      </c>
    </row>
    <row r="44" ht="22.5" hidden="1" customHeight="1">
      <c r="A44" s="2">
        <v>2026.0</v>
      </c>
      <c r="B44" s="2">
        <v>1.0</v>
      </c>
      <c r="C44" s="2">
        <v>20.0</v>
      </c>
      <c r="D44" s="2">
        <v>182.0</v>
      </c>
      <c r="E44" s="2">
        <v>2514.0</v>
      </c>
      <c r="F44" s="2">
        <v>7.23945902943516</v>
      </c>
    </row>
    <row r="45" ht="22.5" hidden="1" customHeight="1">
      <c r="A45" s="2">
        <v>2025.0</v>
      </c>
      <c r="B45" s="2">
        <v>12.0</v>
      </c>
      <c r="C45" s="2">
        <v>16.0</v>
      </c>
      <c r="D45" s="2">
        <v>165.0</v>
      </c>
      <c r="E45" s="2">
        <v>2514.0</v>
      </c>
      <c r="F45" s="2">
        <v>6.56324582338902</v>
      </c>
    </row>
    <row r="46" ht="22.5" hidden="1" customHeight="1">
      <c r="A46" s="2">
        <v>2026.0</v>
      </c>
      <c r="B46" s="2">
        <v>1.0</v>
      </c>
      <c r="C46" s="2">
        <v>27.0</v>
      </c>
      <c r="D46" s="2">
        <v>160.0</v>
      </c>
      <c r="E46" s="2">
        <v>2514.0</v>
      </c>
      <c r="F46" s="2">
        <v>6.36435958631662</v>
      </c>
    </row>
    <row r="47" ht="22.5" hidden="1" customHeight="1">
      <c r="A47" s="2">
        <v>2025.0</v>
      </c>
      <c r="B47" s="2">
        <v>1.0</v>
      </c>
      <c r="C47" s="2">
        <v>28.0</v>
      </c>
      <c r="D47" s="2">
        <v>160.0</v>
      </c>
      <c r="E47" s="2">
        <v>2514.0</v>
      </c>
      <c r="F47" s="2">
        <v>6.36435958631662</v>
      </c>
    </row>
    <row r="48" ht="22.5" customHeight="1">
      <c r="A48" s="2">
        <v>2024.0</v>
      </c>
      <c r="B48" s="2">
        <v>1.0</v>
      </c>
      <c r="C48" s="2">
        <v>16.0</v>
      </c>
      <c r="D48" s="2">
        <v>154.0</v>
      </c>
      <c r="E48" s="2">
        <v>2514.0</v>
      </c>
      <c r="F48" s="2">
        <v>6.12569610182975</v>
      </c>
    </row>
    <row r="49" ht="22.5" customHeight="1">
      <c r="A49" s="2">
        <v>2024.0</v>
      </c>
      <c r="B49" s="2">
        <v>1.0</v>
      </c>
      <c r="C49" s="2">
        <v>2.0</v>
      </c>
      <c r="D49" s="2">
        <v>140.0</v>
      </c>
      <c r="E49" s="2">
        <v>2514.0</v>
      </c>
      <c r="F49" s="2">
        <v>5.56881463802704</v>
      </c>
    </row>
    <row r="50" ht="22.5" customHeight="1">
      <c r="A50" s="2">
        <v>2024.0</v>
      </c>
      <c r="B50" s="2">
        <v>12.0</v>
      </c>
      <c r="C50" s="2">
        <v>17.0</v>
      </c>
      <c r="D50" s="2">
        <v>137.0</v>
      </c>
      <c r="E50" s="2">
        <v>2514.0</v>
      </c>
      <c r="F50" s="2">
        <v>5.44948289578361</v>
      </c>
    </row>
    <row r="51" ht="22.5" customHeight="1">
      <c r="A51" s="2">
        <v>2024.0</v>
      </c>
      <c r="B51" s="2">
        <v>2.0</v>
      </c>
      <c r="C51" s="2">
        <v>4.0</v>
      </c>
      <c r="D51" s="2">
        <v>136.0</v>
      </c>
      <c r="E51" s="2">
        <v>2514.0</v>
      </c>
      <c r="F51" s="2">
        <v>5.40970564836913</v>
      </c>
    </row>
    <row r="52" ht="22.5" hidden="1" customHeight="1">
      <c r="A52" s="2">
        <v>2025.0</v>
      </c>
      <c r="B52" s="2">
        <v>2.0</v>
      </c>
      <c r="C52" s="2">
        <v>2.0</v>
      </c>
      <c r="D52" s="2">
        <v>121.0</v>
      </c>
      <c r="E52" s="2">
        <v>2514.0</v>
      </c>
      <c r="F52" s="2">
        <v>4.81304693715194</v>
      </c>
    </row>
    <row r="53" ht="22.5" hidden="1" customHeight="1">
      <c r="A53" s="2">
        <v>2023.0</v>
      </c>
      <c r="B53" s="2">
        <v>12.0</v>
      </c>
      <c r="C53" s="2">
        <v>12.0</v>
      </c>
      <c r="D53" s="2">
        <v>121.0</v>
      </c>
      <c r="E53" s="2">
        <v>2514.0</v>
      </c>
      <c r="F53" s="2">
        <v>4.81304693715194</v>
      </c>
    </row>
    <row r="54" ht="22.5" customHeight="1">
      <c r="A54" s="2">
        <v>2024.0</v>
      </c>
      <c r="B54" s="2">
        <v>1.0</v>
      </c>
      <c r="C54" s="2">
        <v>30.0</v>
      </c>
      <c r="D54" s="2">
        <v>87.0</v>
      </c>
      <c r="E54" s="2">
        <v>2514.0</v>
      </c>
      <c r="F54" s="2">
        <v>3.46062052505966</v>
      </c>
    </row>
    <row r="55" ht="22.5" hidden="1" customHeight="1">
      <c r="A55" s="2">
        <v>2023.0</v>
      </c>
      <c r="B55" s="2">
        <v>12.0</v>
      </c>
      <c r="C55" s="2">
        <v>26.0</v>
      </c>
      <c r="D55" s="2">
        <v>81.0</v>
      </c>
      <c r="E55" s="2">
        <v>2514.0</v>
      </c>
      <c r="F55" s="2">
        <v>3.22195704057279</v>
      </c>
    </row>
    <row r="56" ht="22.5" hidden="1" customHeight="1">
      <c r="A56" s="2">
        <v>2026.0</v>
      </c>
      <c r="B56" s="2">
        <v>1.0</v>
      </c>
      <c r="C56" s="2">
        <v>13.0</v>
      </c>
      <c r="D56" s="2">
        <v>76.0</v>
      </c>
      <c r="E56" s="2">
        <v>2514.0</v>
      </c>
      <c r="F56" s="2">
        <v>3.02307080350039</v>
      </c>
    </row>
    <row r="57" ht="22.5" hidden="1" customHeight="1">
      <c r="A57" s="2">
        <v>2025.0</v>
      </c>
      <c r="B57" s="2">
        <v>12.0</v>
      </c>
      <c r="C57" s="2">
        <v>30.0</v>
      </c>
      <c r="D57" s="2">
        <v>71.0</v>
      </c>
      <c r="E57" s="2">
        <v>2514.0</v>
      </c>
      <c r="F57" s="2">
        <v>2.824184566428</v>
      </c>
    </row>
    <row r="58" ht="22.5" customHeight="1">
      <c r="A58" s="2">
        <v>2024.0</v>
      </c>
      <c r="B58" s="2">
        <v>12.0</v>
      </c>
      <c r="C58" s="2">
        <v>30.0</v>
      </c>
      <c r="D58" s="2">
        <v>68.0</v>
      </c>
      <c r="E58" s="2">
        <v>2514.0</v>
      </c>
      <c r="F58" s="2">
        <v>2.70485282418456</v>
      </c>
    </row>
    <row r="59" ht="22.5" hidden="1" customHeight="1"/>
    <row r="60" ht="22.5" hidden="1" customHeight="1"/>
    <row r="61" ht="22.5" hidden="1" customHeight="1"/>
    <row r="62" ht="22.5" hidden="1" customHeight="1"/>
    <row r="63" ht="22.5" hidden="1" customHeight="1"/>
    <row r="64" ht="22.5" hidden="1" customHeight="1"/>
    <row r="65" ht="22.5" hidden="1" customHeight="1"/>
    <row r="66" ht="22.5" hidden="1" customHeight="1"/>
    <row r="67" ht="22.5" hidden="1" customHeight="1"/>
    <row r="68" ht="22.5" hidden="1" customHeight="1"/>
    <row r="69" ht="22.5" hidden="1" customHeight="1"/>
    <row r="70" ht="22.5" hidden="1" customHeight="1"/>
    <row r="71" ht="22.5" hidden="1" customHeight="1"/>
    <row r="72" ht="22.5" hidden="1" customHeight="1"/>
    <row r="73" ht="22.5" hidden="1" customHeight="1"/>
    <row r="74" ht="22.5" hidden="1" customHeight="1"/>
    <row r="75" ht="22.5" hidden="1" customHeight="1"/>
    <row r="76" ht="22.5" hidden="1" customHeight="1"/>
    <row r="77" ht="22.5" hidden="1" customHeight="1"/>
    <row r="78" ht="22.5" hidden="1" customHeight="1"/>
    <row r="79" ht="22.5" hidden="1" customHeight="1"/>
    <row r="80" ht="22.5" hidden="1" customHeight="1"/>
    <row r="81" ht="22.5" hidden="1" customHeight="1"/>
    <row r="82" ht="22.5" hidden="1" customHeight="1"/>
    <row r="83" ht="22.5" hidden="1" customHeight="1"/>
    <row r="84" ht="22.5" hidden="1" customHeight="1"/>
    <row r="85" ht="22.5" hidden="1" customHeight="1"/>
    <row r="86" ht="22.5" hidden="1" customHeight="1"/>
    <row r="87" ht="22.5" hidden="1" customHeight="1"/>
    <row r="88" ht="22.5" hidden="1" customHeight="1"/>
    <row r="89" ht="22.5" hidden="1" customHeight="1"/>
    <row r="90" ht="22.5" hidden="1" customHeight="1"/>
    <row r="91" ht="22.5" hidden="1" customHeight="1"/>
    <row r="92" ht="22.5" hidden="1" customHeight="1"/>
    <row r="93" ht="22.5" hidden="1" customHeight="1"/>
    <row r="94" ht="22.5" hidden="1" customHeight="1"/>
    <row r="95" ht="22.5" hidden="1" customHeight="1"/>
    <row r="96" ht="22.5" hidden="1" customHeight="1"/>
    <row r="97" ht="22.5" hidden="1" customHeight="1"/>
    <row r="98" ht="22.5" hidden="1" customHeight="1"/>
    <row r="99" ht="22.5" hidden="1" customHeight="1"/>
    <row r="100" ht="22.5" hidden="1" customHeight="1"/>
    <row r="101" ht="22.5" hidden="1" customHeight="1"/>
    <row r="102" ht="22.5" hidden="1" customHeight="1"/>
    <row r="103" ht="22.5" hidden="1" customHeight="1"/>
    <row r="104" ht="22.5" hidden="1" customHeight="1"/>
    <row r="105" ht="22.5" hidden="1" customHeight="1"/>
    <row r="106" ht="22.5" hidden="1" customHeight="1"/>
    <row r="107" ht="22.5" hidden="1" customHeight="1"/>
    <row r="108" ht="22.5" hidden="1" customHeight="1"/>
    <row r="109" ht="22.5" hidden="1" customHeight="1"/>
    <row r="110" ht="22.5" hidden="1" customHeight="1"/>
    <row r="111" ht="22.5" hidden="1" customHeight="1"/>
    <row r="112" ht="22.5" hidden="1" customHeight="1"/>
    <row r="113" ht="22.5" hidden="1" customHeight="1"/>
    <row r="114" ht="22.5" hidden="1" customHeight="1"/>
    <row r="115" ht="22.5" hidden="1" customHeight="1"/>
    <row r="116" ht="22.5" hidden="1" customHeight="1"/>
    <row r="117" ht="22.5" hidden="1" customHeight="1"/>
    <row r="118" ht="22.5" hidden="1" customHeight="1"/>
    <row r="119" ht="22.5" hidden="1" customHeight="1"/>
    <row r="120" ht="22.5" hidden="1" customHeight="1"/>
    <row r="121" ht="22.5" hidden="1" customHeight="1"/>
    <row r="122" ht="22.5" hidden="1" customHeight="1"/>
    <row r="123" ht="22.5" hidden="1" customHeight="1"/>
    <row r="124" ht="22.5" hidden="1" customHeight="1"/>
    <row r="125" ht="22.5" hidden="1" customHeight="1"/>
    <row r="126" ht="22.5" hidden="1" customHeight="1"/>
    <row r="127" ht="22.5" hidden="1" customHeight="1"/>
    <row r="128" ht="22.5" hidden="1" customHeight="1"/>
    <row r="129" ht="22.5" hidden="1" customHeight="1"/>
    <row r="130" ht="22.5" hidden="1" customHeight="1"/>
    <row r="131" ht="22.5" hidden="1" customHeight="1"/>
    <row r="132" ht="22.5" hidden="1" customHeight="1"/>
    <row r="133" ht="22.5" hidden="1" customHeight="1"/>
    <row r="134" ht="22.5" hidden="1" customHeight="1"/>
    <row r="135" ht="22.5" hidden="1" customHeight="1"/>
    <row r="136" ht="22.5" hidden="1" customHeight="1"/>
    <row r="137" ht="22.5" hidden="1" customHeight="1"/>
    <row r="138" ht="22.5" hidden="1" customHeight="1"/>
    <row r="139" ht="22.5" hidden="1" customHeight="1"/>
    <row r="140" ht="22.5" hidden="1" customHeight="1"/>
    <row r="141" ht="22.5" hidden="1" customHeight="1"/>
    <row r="142" ht="22.5" hidden="1" customHeight="1"/>
    <row r="143" ht="22.5" hidden="1" customHeight="1"/>
    <row r="144" ht="22.5" hidden="1" customHeight="1"/>
    <row r="145" ht="22.5" hidden="1" customHeight="1"/>
    <row r="146" ht="22.5" hidden="1" customHeight="1"/>
    <row r="147" ht="22.5" hidden="1" customHeight="1"/>
    <row r="148" ht="22.5" hidden="1" customHeight="1"/>
    <row r="149" ht="22.5" hidden="1" customHeight="1"/>
    <row r="150" ht="22.5" hidden="1" customHeight="1"/>
    <row r="151" ht="22.5" hidden="1" customHeight="1"/>
    <row r="152" ht="22.5" hidden="1" customHeight="1"/>
    <row r="153" ht="22.5" hidden="1" customHeight="1"/>
    <row r="154" ht="22.5" hidden="1" customHeight="1"/>
    <row r="155" ht="22.5" hidden="1" customHeight="1"/>
    <row r="156" ht="22.5" hidden="1" customHeight="1"/>
    <row r="157" ht="22.5" hidden="1" customHeight="1"/>
    <row r="158" ht="22.5" hidden="1" customHeight="1"/>
    <row r="159" ht="22.5" hidden="1" customHeight="1"/>
    <row r="160" ht="22.5" hidden="1" customHeight="1"/>
    <row r="161" ht="22.5" hidden="1" customHeight="1"/>
    <row r="162" ht="22.5" hidden="1" customHeight="1"/>
    <row r="163" ht="22.5" hidden="1" customHeight="1"/>
    <row r="164" ht="22.5" hidden="1" customHeight="1"/>
    <row r="165" ht="22.5" hidden="1" customHeight="1"/>
    <row r="166" ht="22.5" hidden="1" customHeight="1"/>
    <row r="167" ht="22.5" hidden="1" customHeight="1"/>
    <row r="168" ht="22.5" hidden="1" customHeight="1"/>
    <row r="169" ht="22.5" hidden="1" customHeight="1"/>
    <row r="170" ht="22.5" hidden="1" customHeight="1"/>
    <row r="171" ht="22.5" hidden="1" customHeight="1"/>
    <row r="172" ht="22.5" hidden="1" customHeight="1"/>
    <row r="173" ht="22.5" hidden="1" customHeight="1"/>
    <row r="174" ht="22.5" hidden="1" customHeight="1"/>
    <row r="175" ht="22.5" hidden="1" customHeight="1"/>
    <row r="176" ht="22.5" hidden="1" customHeight="1"/>
    <row r="177" ht="22.5" hidden="1" customHeight="1"/>
    <row r="178" ht="22.5" hidden="1" customHeight="1"/>
    <row r="179" ht="22.5" hidden="1" customHeight="1"/>
    <row r="180" ht="22.5" hidden="1" customHeight="1"/>
    <row r="181" ht="22.5" hidden="1" customHeight="1"/>
    <row r="182" ht="22.5" hidden="1" customHeight="1"/>
    <row r="183" ht="22.5" hidden="1" customHeight="1"/>
    <row r="184" ht="22.5" hidden="1" customHeight="1"/>
    <row r="185" ht="22.5" hidden="1" customHeight="1"/>
    <row r="186" ht="22.5" hidden="1" customHeight="1"/>
    <row r="187" ht="22.5" hidden="1" customHeight="1"/>
    <row r="188" ht="22.5" hidden="1" customHeight="1"/>
    <row r="189" ht="22.5" hidden="1" customHeight="1"/>
    <row r="190" ht="22.5" hidden="1" customHeight="1"/>
    <row r="191" ht="22.5" hidden="1" customHeight="1"/>
    <row r="192" ht="22.5" hidden="1" customHeight="1"/>
    <row r="193" ht="22.5" hidden="1" customHeight="1"/>
    <row r="194" ht="22.5" hidden="1" customHeight="1"/>
    <row r="195" ht="22.5" hidden="1" customHeight="1"/>
    <row r="196" ht="22.5" hidden="1" customHeight="1"/>
    <row r="197" ht="22.5" hidden="1" customHeight="1"/>
    <row r="198" ht="22.5" hidden="1" customHeight="1"/>
    <row r="199" ht="22.5" hidden="1" customHeight="1"/>
    <row r="200" ht="22.5" hidden="1" customHeight="1"/>
    <row r="201" ht="22.5" hidden="1" customHeight="1"/>
    <row r="202" ht="22.5" hidden="1" customHeight="1"/>
    <row r="203" ht="22.5" hidden="1" customHeight="1"/>
    <row r="204" ht="22.5" hidden="1" customHeight="1"/>
    <row r="205" ht="22.5" hidden="1" customHeight="1"/>
    <row r="206" ht="22.5" hidden="1" customHeight="1"/>
    <row r="207" ht="22.5" hidden="1" customHeight="1"/>
    <row r="208" ht="22.5" hidden="1" customHeight="1"/>
    <row r="209" ht="22.5" hidden="1" customHeight="1"/>
    <row r="210" ht="22.5" hidden="1" customHeight="1"/>
    <row r="211" ht="22.5" hidden="1" customHeight="1"/>
    <row r="212" ht="22.5" hidden="1" customHeight="1"/>
    <row r="213" ht="22.5" hidden="1" customHeight="1"/>
    <row r="214" ht="22.5" hidden="1" customHeight="1"/>
    <row r="215" ht="22.5" hidden="1" customHeight="1"/>
    <row r="216" ht="22.5" hidden="1" customHeight="1"/>
    <row r="217" ht="22.5" hidden="1" customHeight="1"/>
    <row r="218" ht="22.5" hidden="1" customHeight="1"/>
    <row r="219" ht="22.5" hidden="1" customHeight="1"/>
    <row r="220" ht="22.5" hidden="1" customHeight="1"/>
    <row r="221" ht="22.5" hidden="1" customHeight="1"/>
    <row r="222" ht="22.5" hidden="1" customHeight="1"/>
    <row r="223" ht="22.5" hidden="1" customHeight="1"/>
    <row r="224" ht="22.5" hidden="1" customHeight="1"/>
    <row r="225" ht="22.5" hidden="1" customHeight="1"/>
    <row r="226" ht="22.5" hidden="1" customHeight="1"/>
    <row r="227" ht="22.5" hidden="1" customHeight="1"/>
    <row r="228" ht="22.5" hidden="1" customHeight="1"/>
    <row r="229" ht="22.5" hidden="1" customHeight="1"/>
    <row r="230" ht="22.5" hidden="1" customHeight="1"/>
    <row r="231" ht="22.5" hidden="1" customHeight="1"/>
    <row r="232" ht="22.5" hidden="1" customHeight="1"/>
    <row r="233" ht="22.5" hidden="1" customHeight="1"/>
    <row r="234" ht="22.5" hidden="1" customHeight="1"/>
    <row r="235" ht="22.5" hidden="1" customHeight="1"/>
    <row r="236" ht="22.5" hidden="1" customHeight="1"/>
    <row r="237" ht="22.5" hidden="1" customHeight="1"/>
    <row r="238" ht="22.5" hidden="1" customHeight="1"/>
    <row r="239" ht="22.5" hidden="1" customHeight="1"/>
    <row r="240" ht="22.5" hidden="1" customHeight="1"/>
    <row r="241" ht="22.5" hidden="1" customHeight="1"/>
    <row r="242" ht="22.5" hidden="1" customHeight="1"/>
    <row r="243" ht="22.5" hidden="1" customHeight="1"/>
    <row r="244" ht="22.5" hidden="1" customHeight="1"/>
    <row r="245" ht="22.5" hidden="1" customHeight="1"/>
    <row r="246" ht="22.5" hidden="1" customHeight="1"/>
    <row r="247" ht="22.5" hidden="1" customHeight="1"/>
    <row r="248" ht="22.5" hidden="1" customHeight="1"/>
    <row r="249" ht="22.5" hidden="1" customHeight="1"/>
    <row r="250" ht="22.5" hidden="1" customHeight="1"/>
    <row r="251" ht="22.5" hidden="1" customHeight="1"/>
    <row r="252" ht="22.5" hidden="1" customHeight="1"/>
    <row r="253" ht="22.5" hidden="1" customHeight="1"/>
    <row r="254" ht="22.5" hidden="1" customHeight="1"/>
    <row r="255" ht="22.5" hidden="1" customHeight="1"/>
    <row r="256" ht="22.5" hidden="1" customHeight="1"/>
    <row r="257" ht="22.5" hidden="1" customHeight="1"/>
    <row r="258" ht="22.5" hidden="1" customHeight="1"/>
    <row r="259" ht="22.5" hidden="1" customHeight="1"/>
    <row r="260" ht="22.5" hidden="1" customHeight="1"/>
    <row r="261" ht="22.5" hidden="1" customHeight="1"/>
    <row r="262" ht="22.5" hidden="1" customHeight="1"/>
    <row r="263" ht="22.5" hidden="1" customHeight="1"/>
    <row r="264" ht="22.5" hidden="1" customHeight="1"/>
    <row r="265" ht="22.5" hidden="1" customHeight="1"/>
    <row r="266" ht="22.5" hidden="1" customHeight="1"/>
    <row r="267" ht="22.5" hidden="1" customHeight="1"/>
    <row r="268" ht="22.5" hidden="1" customHeight="1"/>
    <row r="269" ht="22.5" hidden="1" customHeight="1"/>
    <row r="270" ht="22.5" hidden="1" customHeight="1"/>
    <row r="271" ht="22.5" hidden="1" customHeight="1"/>
    <row r="272" ht="22.5" hidden="1" customHeight="1"/>
    <row r="273" ht="22.5" hidden="1" customHeight="1"/>
    <row r="274" ht="22.5" hidden="1" customHeight="1"/>
    <row r="275" ht="22.5" hidden="1" customHeight="1"/>
    <row r="276" ht="22.5" hidden="1" customHeight="1"/>
    <row r="277" ht="22.5" hidden="1" customHeight="1"/>
    <row r="278" ht="22.5" hidden="1" customHeight="1"/>
    <row r="279" ht="22.5" hidden="1" customHeight="1"/>
    <row r="280" ht="22.5" hidden="1" customHeight="1"/>
    <row r="281" ht="22.5" hidden="1" customHeight="1"/>
    <row r="282" ht="22.5" hidden="1" customHeight="1"/>
    <row r="283" ht="22.5" hidden="1" customHeight="1"/>
    <row r="284" ht="22.5" hidden="1" customHeight="1"/>
    <row r="285" ht="22.5" hidden="1" customHeight="1"/>
    <row r="286" ht="22.5" hidden="1" customHeight="1"/>
    <row r="287" ht="22.5" hidden="1" customHeight="1"/>
    <row r="288" ht="22.5" hidden="1" customHeight="1"/>
    <row r="289" ht="22.5" hidden="1" customHeight="1"/>
    <row r="290" ht="22.5" hidden="1" customHeight="1"/>
    <row r="291" ht="22.5" hidden="1" customHeight="1"/>
    <row r="292" ht="22.5" hidden="1" customHeight="1"/>
    <row r="293" ht="22.5" hidden="1" customHeight="1"/>
    <row r="294" ht="22.5" hidden="1" customHeight="1"/>
    <row r="295" ht="22.5" hidden="1" customHeight="1"/>
    <row r="296" ht="22.5" hidden="1" customHeight="1"/>
    <row r="297" ht="22.5" hidden="1" customHeight="1"/>
    <row r="298" ht="22.5" hidden="1" customHeight="1"/>
    <row r="299" ht="22.5" hidden="1" customHeight="1"/>
    <row r="300" ht="22.5" hidden="1" customHeight="1"/>
    <row r="301" ht="22.5" hidden="1" customHeight="1"/>
    <row r="302" ht="22.5" hidden="1" customHeight="1"/>
    <row r="303" ht="22.5" hidden="1" customHeight="1"/>
    <row r="304" ht="22.5" hidden="1" customHeight="1"/>
    <row r="305" ht="22.5" hidden="1" customHeight="1"/>
    <row r="306" ht="22.5" hidden="1" customHeight="1"/>
    <row r="307" ht="22.5" hidden="1" customHeight="1"/>
    <row r="308" ht="22.5" hidden="1" customHeight="1"/>
    <row r="309" ht="22.5" hidden="1" customHeight="1"/>
    <row r="310" ht="22.5" hidden="1" customHeight="1"/>
    <row r="311" ht="22.5" hidden="1" customHeight="1"/>
    <row r="312" ht="22.5" hidden="1" customHeight="1"/>
    <row r="313" ht="22.5" hidden="1" customHeight="1"/>
    <row r="314" ht="22.5" hidden="1" customHeight="1"/>
    <row r="315" ht="22.5" hidden="1" customHeight="1"/>
    <row r="316" ht="22.5" hidden="1" customHeight="1"/>
    <row r="317" ht="22.5" hidden="1" customHeight="1"/>
    <row r="318" ht="22.5" hidden="1" customHeight="1"/>
    <row r="319" ht="22.5" hidden="1" customHeight="1"/>
    <row r="320" ht="22.5" hidden="1" customHeight="1"/>
    <row r="321" ht="22.5" hidden="1" customHeight="1"/>
    <row r="322" ht="22.5" hidden="1" customHeight="1"/>
    <row r="323" ht="22.5" hidden="1" customHeight="1"/>
    <row r="324" ht="22.5" hidden="1" customHeight="1"/>
    <row r="325" ht="22.5" hidden="1" customHeight="1"/>
    <row r="326" ht="22.5" hidden="1" customHeight="1"/>
    <row r="327" ht="22.5" hidden="1" customHeight="1"/>
    <row r="328" ht="22.5" hidden="1" customHeight="1"/>
    <row r="329" ht="22.5" hidden="1" customHeight="1"/>
    <row r="330" ht="22.5" hidden="1" customHeight="1"/>
    <row r="331" ht="22.5" hidden="1" customHeight="1"/>
    <row r="332" ht="22.5" hidden="1" customHeight="1"/>
    <row r="333" ht="22.5" hidden="1" customHeight="1"/>
    <row r="334" ht="22.5" hidden="1" customHeight="1"/>
    <row r="335" ht="22.5" hidden="1" customHeight="1"/>
    <row r="336" ht="22.5" hidden="1" customHeight="1"/>
    <row r="337" ht="22.5" hidden="1" customHeight="1"/>
    <row r="338" ht="22.5" hidden="1" customHeight="1"/>
    <row r="339" ht="22.5" hidden="1" customHeight="1"/>
    <row r="340" ht="22.5" hidden="1" customHeight="1"/>
    <row r="341" ht="22.5" hidden="1" customHeight="1"/>
    <row r="342" ht="22.5" hidden="1" customHeight="1"/>
    <row r="343" ht="22.5" hidden="1" customHeight="1"/>
    <row r="344" ht="22.5" hidden="1" customHeight="1"/>
    <row r="345" ht="22.5" hidden="1" customHeight="1"/>
    <row r="346" ht="22.5" hidden="1" customHeight="1"/>
    <row r="347" ht="22.5" hidden="1" customHeight="1"/>
    <row r="348" ht="22.5" hidden="1" customHeight="1"/>
    <row r="349" ht="22.5" hidden="1" customHeight="1"/>
    <row r="350" ht="22.5" hidden="1" customHeight="1"/>
    <row r="351" ht="22.5" hidden="1" customHeight="1"/>
    <row r="352" ht="22.5" hidden="1" customHeight="1"/>
    <row r="353" ht="22.5" hidden="1" customHeight="1"/>
    <row r="354" ht="22.5" hidden="1" customHeight="1"/>
    <row r="355" ht="22.5" hidden="1" customHeight="1"/>
    <row r="356" ht="22.5" hidden="1" customHeight="1"/>
    <row r="357" ht="22.5" hidden="1" customHeight="1"/>
    <row r="358" ht="22.5" hidden="1" customHeight="1"/>
    <row r="359" ht="22.5" hidden="1" customHeight="1"/>
    <row r="360" ht="22.5" hidden="1" customHeight="1"/>
    <row r="361" ht="22.5" hidden="1" customHeight="1"/>
    <row r="362" ht="22.5" hidden="1" customHeight="1"/>
    <row r="363" ht="22.5" hidden="1" customHeight="1"/>
    <row r="364" ht="22.5" hidden="1" customHeight="1"/>
    <row r="365" ht="22.5" hidden="1" customHeight="1"/>
    <row r="366" ht="22.5" hidden="1" customHeight="1"/>
    <row r="367" ht="22.5" hidden="1" customHeight="1"/>
    <row r="368" ht="22.5" hidden="1" customHeight="1"/>
    <row r="369" ht="22.5" hidden="1" customHeight="1"/>
    <row r="370" ht="22.5" hidden="1" customHeight="1"/>
    <row r="371" ht="22.5" hidden="1" customHeight="1"/>
    <row r="372" ht="22.5" hidden="1" customHeight="1"/>
    <row r="373" ht="22.5" hidden="1" customHeight="1"/>
    <row r="374" ht="22.5" hidden="1" customHeight="1"/>
    <row r="375" ht="22.5" hidden="1" customHeight="1"/>
    <row r="376" ht="22.5" hidden="1" customHeight="1"/>
    <row r="377" ht="22.5" hidden="1" customHeight="1"/>
    <row r="378" ht="22.5" hidden="1" customHeight="1"/>
    <row r="379" ht="22.5" hidden="1" customHeight="1"/>
    <row r="380" ht="22.5" hidden="1" customHeight="1"/>
    <row r="381" ht="22.5" hidden="1" customHeight="1"/>
    <row r="382" ht="22.5" hidden="1" customHeight="1"/>
    <row r="383" ht="22.5" hidden="1" customHeight="1"/>
    <row r="384" ht="22.5" hidden="1" customHeight="1"/>
    <row r="385" ht="22.5" hidden="1" customHeight="1"/>
    <row r="386" ht="22.5" hidden="1" customHeight="1"/>
    <row r="387" ht="22.5" hidden="1" customHeight="1"/>
    <row r="388" ht="22.5" hidden="1" customHeight="1"/>
    <row r="389" ht="22.5" hidden="1" customHeight="1"/>
    <row r="390" ht="22.5" hidden="1" customHeight="1"/>
    <row r="391" ht="22.5" hidden="1" customHeight="1"/>
    <row r="392" ht="22.5" hidden="1" customHeight="1"/>
    <row r="393" ht="22.5" hidden="1" customHeight="1"/>
    <row r="394" ht="22.5" hidden="1" customHeight="1"/>
    <row r="395" ht="22.5" hidden="1" customHeight="1"/>
    <row r="396" ht="22.5" hidden="1" customHeight="1"/>
    <row r="397" ht="22.5" hidden="1" customHeight="1"/>
    <row r="398" ht="22.5" hidden="1" customHeight="1"/>
    <row r="399" ht="22.5" hidden="1" customHeight="1"/>
    <row r="400" ht="22.5" hidden="1" customHeight="1"/>
    <row r="401" ht="22.5" hidden="1" customHeight="1"/>
    <row r="402" ht="22.5" hidden="1" customHeight="1"/>
    <row r="403" ht="22.5" hidden="1" customHeight="1"/>
    <row r="404" ht="22.5" hidden="1" customHeight="1"/>
    <row r="405" ht="22.5" hidden="1" customHeight="1"/>
    <row r="406" ht="22.5" hidden="1" customHeight="1"/>
    <row r="407" ht="22.5" hidden="1" customHeight="1"/>
    <row r="408" ht="22.5" hidden="1" customHeight="1"/>
    <row r="409" ht="22.5" hidden="1" customHeight="1"/>
    <row r="410" ht="22.5" hidden="1" customHeight="1"/>
    <row r="411" ht="22.5" hidden="1" customHeight="1"/>
    <row r="412" ht="22.5" hidden="1" customHeight="1"/>
    <row r="413" ht="22.5" hidden="1" customHeight="1"/>
    <row r="414" ht="22.5" hidden="1" customHeight="1"/>
    <row r="415" ht="22.5" hidden="1" customHeight="1"/>
    <row r="416" ht="22.5" hidden="1" customHeight="1"/>
    <row r="417" ht="22.5" hidden="1" customHeight="1"/>
    <row r="418" ht="22.5" hidden="1" customHeight="1"/>
    <row r="419" ht="22.5" hidden="1" customHeight="1"/>
    <row r="420" ht="22.5" hidden="1" customHeight="1"/>
    <row r="421" ht="22.5" hidden="1" customHeight="1"/>
    <row r="422" ht="22.5" hidden="1" customHeight="1"/>
    <row r="423" ht="22.5" hidden="1" customHeight="1"/>
    <row r="424" ht="22.5" hidden="1" customHeight="1"/>
    <row r="425" ht="22.5" hidden="1" customHeight="1"/>
    <row r="426" ht="22.5" hidden="1" customHeight="1"/>
    <row r="427" ht="22.5" hidden="1" customHeight="1"/>
    <row r="428" ht="22.5" hidden="1" customHeight="1"/>
    <row r="429" ht="22.5" hidden="1" customHeight="1"/>
    <row r="430" ht="22.5" hidden="1" customHeight="1"/>
    <row r="431" ht="22.5" hidden="1" customHeight="1"/>
    <row r="432" ht="22.5" hidden="1" customHeight="1"/>
    <row r="433" ht="22.5" hidden="1" customHeight="1"/>
    <row r="434" ht="22.5" hidden="1" customHeight="1"/>
    <row r="435" ht="22.5" hidden="1" customHeight="1"/>
    <row r="436" ht="22.5" hidden="1" customHeight="1"/>
    <row r="437" ht="22.5" hidden="1" customHeight="1"/>
    <row r="438" ht="22.5" hidden="1" customHeight="1"/>
    <row r="439" ht="22.5" hidden="1" customHeight="1"/>
    <row r="440" ht="22.5" hidden="1" customHeight="1"/>
    <row r="441" ht="22.5" hidden="1" customHeight="1"/>
    <row r="442" ht="22.5" hidden="1" customHeight="1"/>
    <row r="443" ht="22.5" hidden="1" customHeight="1"/>
    <row r="444" ht="22.5" hidden="1" customHeight="1"/>
    <row r="445" ht="22.5" hidden="1" customHeight="1"/>
    <row r="446" ht="22.5" hidden="1" customHeight="1"/>
    <row r="447" ht="22.5" hidden="1" customHeight="1"/>
    <row r="448" ht="22.5" hidden="1" customHeight="1"/>
    <row r="449" ht="22.5" hidden="1" customHeight="1"/>
    <row r="450" ht="22.5" hidden="1" customHeight="1"/>
    <row r="451" ht="22.5" hidden="1" customHeight="1"/>
    <row r="452" ht="22.5" hidden="1" customHeight="1"/>
    <row r="453" ht="22.5" hidden="1" customHeight="1"/>
    <row r="454" ht="22.5" hidden="1" customHeight="1"/>
    <row r="455" ht="22.5" hidden="1" customHeight="1"/>
    <row r="456" ht="22.5" hidden="1" customHeight="1"/>
    <row r="457" ht="22.5" hidden="1" customHeight="1"/>
    <row r="458" ht="22.5" hidden="1" customHeight="1"/>
    <row r="459" ht="22.5" hidden="1" customHeight="1"/>
    <row r="460" ht="22.5" hidden="1" customHeight="1"/>
    <row r="461" ht="22.5" hidden="1" customHeight="1"/>
    <row r="462" ht="22.5" hidden="1" customHeight="1"/>
    <row r="463" ht="22.5" hidden="1" customHeight="1"/>
    <row r="464" ht="22.5" hidden="1" customHeight="1"/>
    <row r="465" ht="22.5" hidden="1" customHeight="1"/>
    <row r="466" ht="22.5" hidden="1" customHeight="1"/>
    <row r="467" ht="22.5" hidden="1" customHeight="1"/>
    <row r="468" ht="22.5" hidden="1" customHeight="1"/>
    <row r="469" ht="22.5" hidden="1" customHeight="1"/>
    <row r="470" ht="22.5" hidden="1" customHeight="1"/>
    <row r="471" ht="22.5" hidden="1" customHeight="1"/>
    <row r="472" ht="22.5" hidden="1" customHeight="1"/>
    <row r="473" ht="22.5" hidden="1" customHeight="1"/>
    <row r="474" ht="22.5" hidden="1" customHeight="1"/>
    <row r="475" ht="22.5" hidden="1" customHeight="1"/>
    <row r="476" ht="22.5" hidden="1" customHeight="1"/>
    <row r="477" ht="22.5" hidden="1" customHeight="1"/>
    <row r="478" ht="22.5" hidden="1" customHeight="1"/>
    <row r="479" ht="22.5" hidden="1" customHeight="1"/>
    <row r="480" ht="22.5" hidden="1" customHeight="1"/>
    <row r="481" ht="22.5" hidden="1" customHeight="1"/>
    <row r="482" ht="22.5" hidden="1" customHeight="1"/>
    <row r="483" ht="22.5" hidden="1" customHeight="1"/>
    <row r="484" ht="22.5" hidden="1" customHeight="1"/>
    <row r="485" ht="22.5" hidden="1" customHeight="1"/>
    <row r="486" ht="22.5" hidden="1" customHeight="1"/>
    <row r="487" ht="22.5" hidden="1" customHeight="1"/>
    <row r="488" ht="22.5" hidden="1" customHeight="1"/>
    <row r="489" ht="22.5" hidden="1" customHeight="1"/>
    <row r="490" ht="22.5" hidden="1" customHeight="1"/>
    <row r="491" ht="22.5" hidden="1" customHeight="1"/>
    <row r="492" ht="22.5" hidden="1" customHeight="1"/>
    <row r="493" ht="22.5" hidden="1" customHeight="1"/>
    <row r="494" ht="22.5" hidden="1" customHeight="1"/>
    <row r="495" ht="22.5" hidden="1" customHeight="1"/>
    <row r="496" ht="22.5" hidden="1" customHeight="1"/>
    <row r="497" ht="22.5" hidden="1" customHeight="1"/>
    <row r="498" ht="22.5" hidden="1" customHeight="1"/>
    <row r="499" ht="22.5" hidden="1" customHeight="1"/>
    <row r="500" ht="22.5" hidden="1" customHeight="1"/>
    <row r="501" ht="22.5" hidden="1" customHeight="1"/>
    <row r="502" ht="22.5" hidden="1" customHeight="1"/>
    <row r="503" ht="22.5" hidden="1" customHeight="1"/>
    <row r="504" ht="22.5" hidden="1" customHeight="1"/>
    <row r="505" ht="22.5" hidden="1" customHeight="1"/>
    <row r="506" ht="22.5" hidden="1" customHeight="1"/>
    <row r="507" ht="22.5" hidden="1" customHeight="1"/>
    <row r="508" ht="22.5" hidden="1" customHeight="1"/>
    <row r="509" ht="22.5" hidden="1" customHeight="1"/>
    <row r="510" ht="22.5" hidden="1" customHeight="1"/>
    <row r="511" ht="22.5" hidden="1" customHeight="1"/>
    <row r="512" ht="22.5" hidden="1" customHeight="1"/>
    <row r="513" ht="22.5" hidden="1" customHeight="1"/>
    <row r="514" ht="22.5" hidden="1" customHeight="1"/>
    <row r="515" ht="22.5" hidden="1" customHeight="1"/>
    <row r="516" ht="22.5" hidden="1" customHeight="1"/>
    <row r="517" ht="22.5" hidden="1" customHeight="1"/>
    <row r="518" ht="22.5" hidden="1" customHeight="1"/>
    <row r="519" ht="22.5" hidden="1" customHeight="1"/>
    <row r="520" ht="22.5" hidden="1" customHeight="1"/>
    <row r="521" ht="22.5" hidden="1" customHeight="1"/>
    <row r="522" ht="22.5" hidden="1" customHeight="1"/>
    <row r="523" ht="22.5" hidden="1" customHeight="1"/>
    <row r="524" ht="22.5" hidden="1" customHeight="1"/>
    <row r="525" ht="22.5" hidden="1" customHeight="1"/>
    <row r="526" ht="22.5" hidden="1" customHeight="1"/>
    <row r="527" ht="22.5" hidden="1" customHeight="1"/>
    <row r="528" ht="22.5" hidden="1" customHeight="1"/>
    <row r="529" ht="22.5" hidden="1" customHeight="1"/>
    <row r="530" ht="22.5" hidden="1" customHeight="1"/>
    <row r="531" ht="22.5" hidden="1" customHeight="1"/>
    <row r="532" ht="22.5" hidden="1" customHeight="1"/>
    <row r="533" ht="22.5" hidden="1" customHeight="1"/>
    <row r="534" ht="22.5" hidden="1" customHeight="1"/>
    <row r="535" ht="22.5" hidden="1" customHeight="1"/>
    <row r="536" ht="22.5" hidden="1" customHeight="1"/>
    <row r="537" ht="22.5" hidden="1" customHeight="1"/>
    <row r="538" ht="22.5" hidden="1" customHeight="1"/>
    <row r="539" ht="22.5" hidden="1" customHeight="1"/>
    <row r="540" ht="22.5" hidden="1" customHeight="1"/>
    <row r="541" ht="22.5" hidden="1" customHeight="1"/>
    <row r="542" ht="22.5" hidden="1" customHeight="1"/>
    <row r="543" ht="22.5" hidden="1" customHeight="1"/>
    <row r="544" ht="22.5" hidden="1" customHeight="1"/>
    <row r="545" ht="22.5" hidden="1" customHeight="1"/>
    <row r="546" ht="22.5" hidden="1" customHeight="1"/>
    <row r="547" ht="22.5" hidden="1" customHeight="1"/>
    <row r="548" ht="22.5" hidden="1" customHeight="1"/>
    <row r="549" ht="22.5" hidden="1" customHeight="1"/>
    <row r="550" ht="22.5" hidden="1" customHeight="1"/>
    <row r="551" ht="22.5" hidden="1" customHeight="1"/>
    <row r="552" ht="22.5" hidden="1" customHeight="1"/>
    <row r="553" ht="22.5" hidden="1" customHeight="1"/>
    <row r="554" ht="22.5" hidden="1" customHeight="1"/>
    <row r="555" ht="22.5" hidden="1" customHeight="1"/>
    <row r="556" ht="22.5" hidden="1" customHeight="1"/>
    <row r="557" ht="22.5" hidden="1" customHeight="1"/>
    <row r="558" ht="22.5" hidden="1" customHeight="1"/>
    <row r="559" ht="22.5" hidden="1" customHeight="1"/>
    <row r="560" ht="22.5" hidden="1" customHeight="1"/>
    <row r="561" ht="22.5" hidden="1" customHeight="1"/>
    <row r="562" ht="22.5" hidden="1" customHeight="1"/>
    <row r="563" ht="22.5" hidden="1" customHeight="1"/>
    <row r="564" ht="22.5" hidden="1" customHeight="1"/>
    <row r="565" ht="22.5" hidden="1" customHeight="1"/>
    <row r="566" ht="22.5" hidden="1" customHeight="1"/>
    <row r="567" ht="22.5" hidden="1" customHeight="1"/>
    <row r="568" ht="22.5" hidden="1" customHeight="1"/>
    <row r="569" ht="22.5" hidden="1" customHeight="1"/>
    <row r="570" ht="22.5" hidden="1" customHeight="1"/>
    <row r="571" ht="22.5" hidden="1" customHeight="1"/>
    <row r="572" ht="22.5" hidden="1" customHeight="1"/>
    <row r="573" ht="22.5" hidden="1" customHeight="1"/>
    <row r="574" ht="22.5" hidden="1" customHeight="1"/>
    <row r="575" ht="22.5" hidden="1" customHeight="1"/>
    <row r="576" ht="22.5" hidden="1" customHeight="1"/>
    <row r="577" ht="22.5" hidden="1" customHeight="1"/>
    <row r="578" ht="22.5" hidden="1" customHeight="1"/>
    <row r="579" ht="22.5" hidden="1" customHeight="1"/>
    <row r="580" ht="22.5" hidden="1" customHeight="1"/>
    <row r="581" ht="22.5" hidden="1" customHeight="1"/>
    <row r="582" ht="22.5" hidden="1" customHeight="1"/>
    <row r="583" ht="22.5" hidden="1" customHeight="1"/>
    <row r="584" ht="22.5" hidden="1" customHeight="1"/>
    <row r="585" ht="22.5" hidden="1" customHeight="1"/>
    <row r="586" ht="22.5" hidden="1" customHeight="1"/>
    <row r="587" ht="22.5" hidden="1" customHeight="1"/>
    <row r="588" ht="22.5" hidden="1" customHeight="1"/>
    <row r="589" ht="22.5" hidden="1" customHeight="1"/>
    <row r="590" ht="22.5" hidden="1" customHeight="1"/>
    <row r="591" ht="22.5" hidden="1" customHeight="1"/>
    <row r="592" ht="22.5" hidden="1" customHeight="1"/>
    <row r="593" ht="22.5" hidden="1" customHeight="1"/>
    <row r="594" ht="22.5" hidden="1" customHeight="1"/>
    <row r="595" ht="22.5" hidden="1" customHeight="1"/>
    <row r="596" ht="22.5" hidden="1" customHeight="1"/>
    <row r="597" ht="22.5" hidden="1" customHeight="1"/>
    <row r="598" ht="22.5" hidden="1" customHeight="1"/>
    <row r="599" ht="22.5" hidden="1" customHeight="1"/>
    <row r="600" ht="22.5" hidden="1" customHeight="1"/>
    <row r="601" ht="22.5" hidden="1" customHeight="1"/>
    <row r="602" ht="22.5" hidden="1" customHeight="1"/>
    <row r="603" ht="22.5" hidden="1" customHeight="1"/>
    <row r="604" ht="22.5" hidden="1" customHeight="1"/>
    <row r="605" ht="22.5" hidden="1" customHeight="1"/>
    <row r="606" ht="22.5" hidden="1" customHeight="1"/>
    <row r="607" ht="22.5" hidden="1" customHeight="1"/>
    <row r="608" ht="22.5" hidden="1" customHeight="1"/>
    <row r="609" ht="22.5" hidden="1" customHeight="1"/>
    <row r="610" ht="22.5" hidden="1" customHeight="1"/>
    <row r="611" ht="22.5" hidden="1" customHeight="1"/>
    <row r="612" ht="22.5" hidden="1" customHeight="1"/>
    <row r="613" ht="22.5" hidden="1" customHeight="1"/>
    <row r="614" ht="22.5" hidden="1" customHeight="1"/>
    <row r="615" ht="22.5" hidden="1" customHeight="1"/>
    <row r="616" ht="22.5" hidden="1" customHeight="1"/>
    <row r="617" ht="22.5" hidden="1" customHeight="1"/>
    <row r="618" ht="22.5" hidden="1" customHeight="1"/>
    <row r="619" ht="22.5" hidden="1" customHeight="1"/>
    <row r="620" ht="22.5" hidden="1" customHeight="1"/>
    <row r="621" ht="22.5" hidden="1" customHeight="1"/>
    <row r="622" ht="22.5" hidden="1" customHeight="1"/>
    <row r="623" ht="22.5" hidden="1" customHeight="1"/>
    <row r="624" ht="22.5" hidden="1" customHeight="1"/>
    <row r="625" ht="22.5" hidden="1" customHeight="1"/>
    <row r="626" ht="22.5" hidden="1" customHeight="1"/>
    <row r="627" ht="22.5" hidden="1" customHeight="1"/>
    <row r="628" ht="22.5" hidden="1" customHeight="1"/>
    <row r="629" ht="22.5" hidden="1" customHeight="1"/>
    <row r="630" ht="22.5" hidden="1" customHeight="1"/>
    <row r="631" ht="22.5" hidden="1" customHeight="1"/>
    <row r="632" ht="22.5" hidden="1" customHeight="1"/>
    <row r="633" ht="22.5" hidden="1" customHeight="1"/>
    <row r="634" ht="22.5" hidden="1" customHeight="1"/>
    <row r="635" ht="22.5" hidden="1" customHeight="1"/>
    <row r="636" ht="22.5" hidden="1" customHeight="1"/>
    <row r="637" ht="22.5" hidden="1" customHeight="1"/>
    <row r="638" ht="22.5" hidden="1" customHeight="1"/>
    <row r="639" ht="22.5" hidden="1" customHeight="1"/>
    <row r="640" ht="22.5" hidden="1" customHeight="1"/>
    <row r="641" ht="22.5" hidden="1" customHeight="1"/>
    <row r="642" ht="22.5" hidden="1" customHeight="1"/>
    <row r="643" ht="22.5" hidden="1" customHeight="1"/>
    <row r="644" ht="22.5" hidden="1" customHeight="1"/>
    <row r="645" ht="22.5" hidden="1" customHeight="1"/>
    <row r="646" ht="22.5" hidden="1" customHeight="1"/>
    <row r="647" ht="22.5" hidden="1" customHeight="1"/>
    <row r="648" ht="22.5" hidden="1" customHeight="1"/>
    <row r="649" ht="22.5" hidden="1" customHeight="1"/>
    <row r="650" ht="22.5" hidden="1" customHeight="1"/>
    <row r="651" ht="22.5" hidden="1" customHeight="1"/>
    <row r="652" ht="22.5" hidden="1" customHeight="1"/>
    <row r="653" ht="22.5" hidden="1" customHeight="1"/>
    <row r="654" ht="22.5" hidden="1" customHeight="1"/>
    <row r="655" ht="22.5" hidden="1" customHeight="1"/>
    <row r="656" ht="22.5" hidden="1" customHeight="1"/>
    <row r="657" ht="22.5" hidden="1" customHeight="1"/>
    <row r="658" ht="22.5" hidden="1" customHeight="1"/>
    <row r="659" ht="22.5" hidden="1" customHeight="1"/>
    <row r="660" ht="22.5" hidden="1" customHeight="1"/>
    <row r="661" ht="22.5" hidden="1" customHeight="1"/>
    <row r="662" ht="22.5" hidden="1" customHeight="1"/>
    <row r="663" ht="22.5" hidden="1" customHeight="1"/>
    <row r="664" ht="22.5" hidden="1" customHeight="1"/>
    <row r="665" ht="22.5" hidden="1" customHeight="1"/>
    <row r="666" ht="22.5" hidden="1" customHeight="1"/>
    <row r="667" ht="22.5" hidden="1" customHeight="1"/>
    <row r="668" ht="22.5" hidden="1" customHeight="1"/>
    <row r="669" ht="22.5" hidden="1" customHeight="1"/>
    <row r="670" ht="22.5" hidden="1" customHeight="1"/>
    <row r="671" ht="22.5" hidden="1" customHeight="1"/>
    <row r="672" ht="22.5" hidden="1" customHeight="1"/>
    <row r="673" ht="22.5" hidden="1" customHeight="1"/>
    <row r="674" ht="22.5" hidden="1" customHeight="1"/>
    <row r="675" ht="22.5" hidden="1" customHeight="1"/>
    <row r="676" ht="22.5" hidden="1" customHeight="1"/>
    <row r="677" ht="22.5" hidden="1" customHeight="1"/>
    <row r="678" ht="22.5" hidden="1" customHeight="1"/>
    <row r="679" ht="22.5" hidden="1" customHeight="1"/>
    <row r="680" ht="22.5" hidden="1" customHeight="1"/>
    <row r="681" ht="22.5" hidden="1" customHeight="1"/>
    <row r="682" ht="22.5" hidden="1" customHeight="1"/>
    <row r="683" ht="22.5" hidden="1" customHeight="1"/>
    <row r="684" ht="22.5" hidden="1" customHeight="1"/>
    <row r="685" ht="22.5" hidden="1" customHeight="1"/>
    <row r="686" ht="22.5" hidden="1" customHeight="1"/>
    <row r="687" ht="22.5" hidden="1" customHeight="1"/>
    <row r="688" ht="22.5" hidden="1" customHeight="1"/>
    <row r="689" ht="22.5" hidden="1" customHeight="1"/>
    <row r="690" ht="22.5" hidden="1" customHeight="1"/>
    <row r="691" ht="22.5" hidden="1" customHeight="1"/>
    <row r="692" ht="22.5" hidden="1" customHeight="1"/>
    <row r="693" ht="22.5" hidden="1" customHeight="1"/>
    <row r="694" ht="22.5" hidden="1" customHeight="1"/>
    <row r="695" ht="22.5" hidden="1" customHeight="1"/>
    <row r="696" ht="22.5" hidden="1" customHeight="1"/>
    <row r="697" ht="22.5" hidden="1" customHeight="1"/>
    <row r="698" ht="22.5" hidden="1" customHeight="1"/>
    <row r="699" ht="22.5" hidden="1" customHeight="1"/>
    <row r="700" ht="22.5" hidden="1" customHeight="1"/>
    <row r="701" ht="22.5" hidden="1" customHeight="1"/>
    <row r="702" ht="22.5" hidden="1" customHeight="1"/>
    <row r="703" ht="22.5" hidden="1" customHeight="1"/>
    <row r="704" ht="22.5" hidden="1" customHeight="1"/>
    <row r="705" ht="22.5" hidden="1" customHeight="1"/>
    <row r="706" ht="22.5" hidden="1" customHeight="1"/>
    <row r="707" ht="22.5" hidden="1" customHeight="1"/>
    <row r="708" ht="22.5" hidden="1" customHeight="1"/>
    <row r="709" ht="22.5" hidden="1" customHeight="1"/>
    <row r="710" ht="22.5" hidden="1" customHeight="1"/>
    <row r="711" ht="22.5" hidden="1" customHeight="1"/>
    <row r="712" ht="22.5" hidden="1" customHeight="1"/>
    <row r="713" ht="22.5" hidden="1" customHeight="1"/>
    <row r="714" ht="22.5" hidden="1" customHeight="1"/>
    <row r="715" ht="22.5" hidden="1" customHeight="1"/>
    <row r="716" ht="22.5" hidden="1" customHeight="1"/>
    <row r="717" ht="22.5" hidden="1" customHeight="1"/>
    <row r="718" ht="22.5" hidden="1" customHeight="1"/>
    <row r="719" ht="22.5" hidden="1" customHeight="1"/>
    <row r="720" ht="22.5" hidden="1" customHeight="1"/>
    <row r="721" ht="22.5" hidden="1" customHeight="1"/>
    <row r="722" ht="22.5" hidden="1" customHeight="1"/>
    <row r="723" ht="22.5" hidden="1" customHeight="1"/>
    <row r="724" ht="22.5" hidden="1" customHeight="1"/>
    <row r="725" ht="22.5" hidden="1" customHeight="1"/>
    <row r="726" ht="22.5" hidden="1" customHeight="1"/>
    <row r="727" ht="22.5" hidden="1" customHeight="1"/>
    <row r="728" ht="22.5" hidden="1" customHeight="1"/>
    <row r="729" ht="22.5" hidden="1" customHeight="1"/>
    <row r="730" ht="22.5" hidden="1" customHeight="1"/>
    <row r="731" ht="22.5" hidden="1" customHeight="1"/>
    <row r="732" ht="22.5" hidden="1" customHeight="1"/>
    <row r="733" ht="22.5" hidden="1" customHeight="1"/>
    <row r="734" ht="22.5" hidden="1" customHeight="1"/>
    <row r="735" ht="22.5" hidden="1" customHeight="1"/>
    <row r="736" ht="22.5" hidden="1" customHeight="1"/>
    <row r="737" ht="22.5" hidden="1" customHeight="1"/>
    <row r="738" ht="22.5" hidden="1" customHeight="1"/>
    <row r="739" ht="22.5" hidden="1" customHeight="1"/>
    <row r="740" ht="22.5" hidden="1" customHeight="1"/>
    <row r="741" ht="22.5" hidden="1" customHeight="1"/>
    <row r="742" ht="22.5" hidden="1" customHeight="1"/>
    <row r="743" ht="22.5" hidden="1" customHeight="1"/>
    <row r="744" ht="22.5" hidden="1" customHeight="1"/>
    <row r="745" ht="22.5" hidden="1" customHeight="1"/>
    <row r="746" ht="22.5" hidden="1" customHeight="1"/>
    <row r="747" ht="22.5" hidden="1" customHeight="1"/>
    <row r="748" ht="22.5" hidden="1" customHeight="1"/>
    <row r="749" ht="22.5" hidden="1" customHeight="1"/>
    <row r="750" ht="22.5" hidden="1" customHeight="1"/>
    <row r="751" ht="22.5" hidden="1" customHeight="1"/>
    <row r="752" ht="22.5" hidden="1" customHeight="1"/>
    <row r="753" ht="22.5" hidden="1" customHeight="1"/>
    <row r="754" ht="22.5" hidden="1" customHeight="1"/>
    <row r="755" ht="22.5" hidden="1" customHeight="1"/>
    <row r="756" ht="22.5" hidden="1" customHeight="1"/>
    <row r="757" ht="22.5" hidden="1" customHeight="1"/>
    <row r="758" ht="22.5" hidden="1" customHeight="1"/>
    <row r="759" ht="22.5" hidden="1" customHeight="1"/>
    <row r="760" ht="22.5" hidden="1" customHeight="1"/>
    <row r="761" ht="22.5" hidden="1" customHeight="1"/>
    <row r="762" ht="22.5" hidden="1" customHeight="1"/>
    <row r="763" ht="22.5" hidden="1" customHeight="1"/>
    <row r="764" ht="22.5" hidden="1" customHeight="1"/>
    <row r="765" ht="22.5" hidden="1" customHeight="1"/>
    <row r="766" ht="22.5" hidden="1" customHeight="1"/>
    <row r="767" ht="22.5" hidden="1" customHeight="1"/>
    <row r="768" ht="22.5" hidden="1" customHeight="1"/>
    <row r="769" ht="22.5" hidden="1" customHeight="1"/>
    <row r="770" ht="22.5" hidden="1" customHeight="1"/>
    <row r="771" ht="22.5" hidden="1" customHeight="1"/>
    <row r="772" ht="22.5" hidden="1" customHeight="1"/>
    <row r="773" ht="22.5" hidden="1" customHeight="1"/>
    <row r="774" ht="22.5" hidden="1" customHeight="1"/>
    <row r="775" ht="22.5" hidden="1" customHeight="1"/>
    <row r="776" ht="22.5" hidden="1" customHeight="1"/>
    <row r="777" ht="22.5" hidden="1" customHeight="1"/>
    <row r="778" ht="22.5" hidden="1" customHeight="1"/>
    <row r="779" ht="22.5" hidden="1" customHeight="1"/>
    <row r="780" ht="22.5" hidden="1" customHeight="1"/>
    <row r="781" ht="22.5" hidden="1" customHeight="1"/>
    <row r="782" ht="22.5" hidden="1" customHeight="1"/>
    <row r="783" ht="22.5" hidden="1" customHeight="1"/>
    <row r="784" ht="22.5" hidden="1" customHeight="1"/>
    <row r="785" ht="22.5" hidden="1" customHeight="1"/>
    <row r="786" ht="22.5" hidden="1" customHeight="1"/>
    <row r="787" ht="22.5" hidden="1" customHeight="1"/>
    <row r="788" ht="22.5" hidden="1" customHeight="1"/>
    <row r="789" ht="22.5" hidden="1" customHeight="1"/>
    <row r="790" ht="22.5" hidden="1" customHeight="1"/>
    <row r="791" ht="22.5" hidden="1" customHeight="1"/>
    <row r="792" ht="22.5" hidden="1" customHeight="1"/>
    <row r="793" ht="22.5" hidden="1" customHeight="1"/>
    <row r="794" ht="22.5" hidden="1" customHeight="1"/>
    <row r="795" ht="22.5" hidden="1" customHeight="1"/>
    <row r="796" ht="22.5" hidden="1" customHeight="1"/>
    <row r="797" ht="22.5" hidden="1" customHeight="1"/>
    <row r="798" ht="22.5" hidden="1" customHeight="1"/>
    <row r="799" ht="22.5" hidden="1" customHeight="1"/>
    <row r="800" ht="22.5" hidden="1" customHeight="1"/>
    <row r="801" ht="22.5" hidden="1" customHeight="1"/>
    <row r="802" ht="22.5" hidden="1" customHeight="1"/>
    <row r="803" ht="22.5" hidden="1" customHeight="1"/>
    <row r="804" ht="22.5" hidden="1" customHeight="1"/>
    <row r="805" ht="22.5" hidden="1" customHeight="1"/>
    <row r="806" ht="22.5" hidden="1" customHeight="1"/>
    <row r="807" ht="22.5" hidden="1" customHeight="1"/>
    <row r="808" ht="22.5" hidden="1" customHeight="1"/>
    <row r="809" ht="22.5" hidden="1" customHeight="1"/>
    <row r="810" ht="22.5" hidden="1" customHeight="1"/>
    <row r="811" ht="22.5" hidden="1" customHeight="1"/>
    <row r="812" ht="22.5" hidden="1" customHeight="1"/>
    <row r="813" ht="22.5" hidden="1" customHeight="1"/>
    <row r="814" ht="22.5" hidden="1" customHeight="1"/>
    <row r="815" ht="22.5" hidden="1" customHeight="1"/>
    <row r="816" ht="22.5" hidden="1" customHeight="1"/>
    <row r="817" ht="22.5" hidden="1" customHeight="1"/>
    <row r="818" ht="22.5" hidden="1" customHeight="1"/>
    <row r="819" ht="22.5" hidden="1" customHeight="1"/>
    <row r="820" ht="22.5" hidden="1" customHeight="1"/>
    <row r="821" ht="22.5" hidden="1" customHeight="1"/>
    <row r="822" ht="22.5" hidden="1" customHeight="1"/>
    <row r="823" ht="22.5" hidden="1" customHeight="1"/>
    <row r="824" ht="22.5" hidden="1" customHeight="1"/>
    <row r="825" ht="22.5" hidden="1" customHeight="1"/>
    <row r="826" ht="22.5" hidden="1" customHeight="1"/>
    <row r="827" ht="22.5" hidden="1" customHeight="1"/>
    <row r="828" ht="22.5" hidden="1" customHeight="1"/>
    <row r="829" ht="22.5" hidden="1" customHeight="1"/>
    <row r="830" ht="22.5" hidden="1" customHeight="1"/>
    <row r="831" ht="22.5" hidden="1" customHeight="1"/>
    <row r="832" ht="22.5" hidden="1" customHeight="1"/>
    <row r="833" ht="22.5" hidden="1" customHeight="1"/>
    <row r="834" ht="22.5" hidden="1" customHeight="1"/>
    <row r="835" ht="22.5" hidden="1" customHeight="1"/>
    <row r="836" ht="22.5" hidden="1" customHeight="1"/>
    <row r="837" ht="22.5" hidden="1" customHeight="1"/>
    <row r="838" ht="22.5" hidden="1" customHeight="1"/>
    <row r="839" ht="22.5" hidden="1" customHeight="1"/>
    <row r="840" ht="22.5" hidden="1" customHeight="1"/>
    <row r="841" ht="22.5" hidden="1" customHeight="1"/>
    <row r="842" ht="22.5" hidden="1" customHeight="1"/>
    <row r="843" ht="22.5" hidden="1" customHeight="1"/>
    <row r="844" ht="22.5" hidden="1" customHeight="1"/>
    <row r="845" ht="22.5" hidden="1" customHeight="1"/>
    <row r="846" ht="22.5" hidden="1" customHeight="1"/>
    <row r="847" ht="22.5" hidden="1" customHeight="1"/>
    <row r="848" ht="22.5" hidden="1" customHeight="1"/>
    <row r="849" ht="22.5" hidden="1" customHeight="1"/>
    <row r="850" ht="22.5" hidden="1" customHeight="1"/>
    <row r="851" ht="22.5" hidden="1" customHeight="1"/>
    <row r="852" ht="22.5" hidden="1" customHeight="1"/>
    <row r="853" ht="22.5" hidden="1" customHeight="1"/>
    <row r="854" ht="22.5" hidden="1" customHeight="1"/>
    <row r="855" ht="22.5" hidden="1" customHeight="1"/>
    <row r="856" ht="22.5" hidden="1" customHeight="1"/>
    <row r="857" ht="22.5" hidden="1" customHeight="1"/>
    <row r="858" ht="22.5" hidden="1" customHeight="1"/>
    <row r="859" ht="22.5" hidden="1" customHeight="1"/>
    <row r="860" ht="22.5" hidden="1" customHeight="1"/>
    <row r="861" ht="22.5" hidden="1" customHeight="1"/>
    <row r="862" ht="22.5" hidden="1" customHeight="1"/>
    <row r="863" ht="22.5" hidden="1" customHeight="1"/>
    <row r="864" ht="22.5" hidden="1" customHeight="1"/>
    <row r="865" ht="22.5" hidden="1" customHeight="1"/>
    <row r="866" ht="22.5" hidden="1" customHeight="1"/>
    <row r="867" ht="22.5" hidden="1" customHeight="1"/>
    <row r="868" ht="22.5" hidden="1" customHeight="1"/>
    <row r="869" ht="22.5" hidden="1" customHeight="1"/>
    <row r="870" ht="22.5" hidden="1" customHeight="1"/>
    <row r="871" ht="22.5" hidden="1" customHeight="1"/>
    <row r="872" ht="22.5" hidden="1" customHeight="1"/>
    <row r="873" ht="22.5" hidden="1" customHeight="1"/>
    <row r="874" ht="22.5" hidden="1" customHeight="1"/>
    <row r="875" ht="22.5" hidden="1" customHeight="1"/>
    <row r="876" ht="22.5" hidden="1" customHeight="1"/>
    <row r="877" ht="22.5" hidden="1" customHeight="1"/>
    <row r="878" ht="22.5" hidden="1" customHeight="1"/>
    <row r="879" ht="22.5" hidden="1" customHeight="1"/>
    <row r="880" ht="22.5" hidden="1" customHeight="1"/>
    <row r="881" ht="22.5" hidden="1" customHeight="1"/>
    <row r="882" ht="22.5" hidden="1" customHeight="1"/>
    <row r="883" ht="22.5" hidden="1" customHeight="1"/>
    <row r="884" ht="22.5" hidden="1" customHeight="1"/>
    <row r="885" ht="22.5" hidden="1" customHeight="1"/>
    <row r="886" ht="22.5" hidden="1" customHeight="1"/>
    <row r="887" ht="22.5" hidden="1" customHeight="1"/>
    <row r="888" ht="22.5" hidden="1" customHeight="1"/>
    <row r="889" ht="22.5" hidden="1" customHeight="1"/>
    <row r="890" ht="22.5" hidden="1" customHeight="1"/>
    <row r="891" ht="22.5" hidden="1" customHeight="1"/>
    <row r="892" ht="22.5" hidden="1" customHeight="1"/>
    <row r="893" ht="22.5" hidden="1" customHeight="1"/>
    <row r="894" ht="22.5" hidden="1" customHeight="1"/>
    <row r="895" ht="22.5" hidden="1" customHeight="1"/>
    <row r="896" ht="22.5" hidden="1" customHeight="1"/>
    <row r="897" ht="22.5" hidden="1" customHeight="1"/>
    <row r="898" ht="22.5" hidden="1" customHeight="1"/>
    <row r="899" ht="22.5" hidden="1" customHeight="1"/>
    <row r="900" ht="22.5" hidden="1" customHeight="1"/>
    <row r="901" ht="22.5" hidden="1" customHeight="1"/>
    <row r="902" ht="22.5" hidden="1" customHeight="1"/>
    <row r="903" ht="22.5" hidden="1" customHeight="1"/>
    <row r="904" ht="22.5" hidden="1" customHeight="1"/>
    <row r="905" ht="22.5" hidden="1" customHeight="1"/>
    <row r="906" ht="22.5" hidden="1" customHeight="1"/>
    <row r="907" ht="22.5" hidden="1" customHeight="1"/>
    <row r="908" ht="22.5" hidden="1" customHeight="1"/>
    <row r="909" ht="22.5" hidden="1" customHeight="1"/>
    <row r="910" ht="22.5" hidden="1" customHeight="1"/>
    <row r="911" ht="22.5" hidden="1" customHeight="1"/>
    <row r="912" ht="22.5" hidden="1" customHeight="1"/>
    <row r="913" ht="22.5" hidden="1" customHeight="1"/>
    <row r="914" ht="22.5" hidden="1" customHeight="1"/>
    <row r="915" ht="22.5" hidden="1" customHeight="1"/>
    <row r="916" ht="22.5" hidden="1" customHeight="1"/>
    <row r="917" ht="22.5" hidden="1" customHeight="1"/>
    <row r="918" ht="22.5" hidden="1" customHeight="1"/>
    <row r="919" ht="22.5" hidden="1" customHeight="1"/>
    <row r="920" ht="22.5" hidden="1" customHeight="1"/>
    <row r="921" ht="22.5" hidden="1" customHeight="1"/>
    <row r="922" ht="22.5" hidden="1" customHeight="1"/>
    <row r="923" ht="22.5" hidden="1" customHeight="1"/>
    <row r="924" ht="22.5" hidden="1" customHeight="1"/>
    <row r="925" ht="22.5" hidden="1" customHeight="1"/>
    <row r="926" ht="22.5" hidden="1" customHeight="1"/>
    <row r="927" ht="22.5" hidden="1" customHeight="1"/>
    <row r="928" ht="22.5" hidden="1" customHeight="1"/>
    <row r="929" ht="22.5" hidden="1" customHeight="1"/>
    <row r="930" ht="22.5" hidden="1" customHeight="1"/>
    <row r="931" ht="22.5" hidden="1" customHeight="1"/>
    <row r="932" ht="22.5" hidden="1" customHeight="1"/>
    <row r="933" ht="22.5" hidden="1" customHeight="1"/>
    <row r="934" ht="22.5" hidden="1" customHeight="1"/>
    <row r="935" ht="22.5" hidden="1" customHeight="1"/>
    <row r="936" ht="22.5" hidden="1" customHeight="1"/>
    <row r="937" ht="22.5" hidden="1" customHeight="1"/>
    <row r="938" ht="22.5" hidden="1" customHeight="1"/>
    <row r="939" ht="22.5" hidden="1" customHeight="1"/>
    <row r="940" ht="22.5" hidden="1" customHeight="1"/>
    <row r="941" ht="22.5" hidden="1" customHeight="1"/>
    <row r="942" ht="22.5" hidden="1" customHeight="1"/>
    <row r="943" ht="22.5" hidden="1" customHeight="1"/>
    <row r="944" ht="22.5" hidden="1" customHeight="1"/>
    <row r="945" ht="22.5" hidden="1" customHeight="1"/>
    <row r="946" ht="22.5" hidden="1" customHeight="1"/>
    <row r="947" ht="22.5" hidden="1" customHeight="1"/>
    <row r="948" ht="22.5" hidden="1" customHeight="1"/>
    <row r="949" ht="22.5" hidden="1" customHeight="1"/>
    <row r="950" ht="22.5" hidden="1" customHeight="1"/>
    <row r="951" ht="22.5" hidden="1" customHeight="1"/>
    <row r="952" ht="22.5" hidden="1" customHeight="1"/>
    <row r="953" ht="22.5" hidden="1" customHeight="1"/>
    <row r="954" ht="22.5" hidden="1" customHeight="1"/>
    <row r="955" ht="22.5" hidden="1" customHeight="1"/>
    <row r="956" ht="22.5" hidden="1" customHeight="1"/>
    <row r="957" ht="22.5" hidden="1" customHeight="1"/>
    <row r="958" ht="22.5" hidden="1" customHeight="1"/>
    <row r="959" ht="22.5" hidden="1" customHeight="1"/>
    <row r="960" ht="22.5" hidden="1" customHeight="1"/>
    <row r="961" ht="22.5" hidden="1" customHeight="1"/>
    <row r="962" ht="22.5" hidden="1" customHeight="1"/>
    <row r="963" ht="22.5" hidden="1" customHeight="1"/>
    <row r="964" ht="22.5" hidden="1" customHeight="1"/>
    <row r="965" ht="22.5" hidden="1" customHeight="1"/>
    <row r="966" ht="22.5" hidden="1" customHeight="1"/>
    <row r="967" ht="22.5" hidden="1" customHeight="1"/>
    <row r="968" ht="22.5" hidden="1" customHeight="1"/>
    <row r="969" ht="22.5" hidden="1" customHeight="1"/>
    <row r="970" ht="22.5" hidden="1" customHeight="1"/>
    <row r="971" ht="22.5" hidden="1" customHeight="1"/>
    <row r="972" ht="22.5" hidden="1" customHeight="1"/>
    <row r="973" ht="22.5" hidden="1" customHeight="1"/>
    <row r="974" ht="22.5" hidden="1" customHeight="1"/>
    <row r="975" ht="22.5" hidden="1" customHeight="1"/>
    <row r="976" ht="22.5" hidden="1" customHeight="1"/>
    <row r="977" ht="22.5" hidden="1" customHeight="1"/>
    <row r="978" ht="22.5" hidden="1" customHeight="1"/>
    <row r="979" ht="22.5" hidden="1" customHeight="1"/>
    <row r="980" ht="22.5" hidden="1" customHeight="1"/>
    <row r="981" ht="22.5" hidden="1" customHeight="1"/>
    <row r="982" ht="22.5" hidden="1" customHeight="1"/>
    <row r="983" ht="22.5" hidden="1" customHeight="1"/>
    <row r="984" ht="22.5" hidden="1" customHeight="1"/>
    <row r="985" ht="22.5" hidden="1" customHeight="1"/>
    <row r="986" ht="22.5" hidden="1" customHeight="1"/>
    <row r="987" ht="22.5" hidden="1" customHeight="1"/>
    <row r="988" ht="22.5" hidden="1" customHeight="1"/>
    <row r="989" ht="22.5" hidden="1" customHeight="1"/>
    <row r="990" ht="22.5" hidden="1" customHeight="1"/>
    <row r="991" ht="22.5" hidden="1" customHeight="1"/>
    <row r="992" ht="22.5" hidden="1" customHeight="1"/>
    <row r="993" ht="22.5" hidden="1" customHeight="1"/>
    <row r="994" ht="22.5" hidden="1" customHeight="1"/>
    <row r="995" ht="22.5" hidden="1" customHeight="1"/>
    <row r="996" ht="22.5" hidden="1" customHeight="1"/>
    <row r="997" ht="22.5" hidden="1" customHeight="1"/>
    <row r="998" ht="22.5" hidden="1" customHeight="1"/>
    <row r="999" ht="22.5" hidden="1" customHeight="1"/>
    <row r="1000" ht="22.5" hidden="1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5"/>
    <col customWidth="1" min="8" max="8" width="15.0"/>
    <col customWidth="1" min="9" max="9" width="21.88"/>
    <col customWidth="1" min="10" max="10" width="16.63"/>
  </cols>
  <sheetData>
    <row r="1" ht="22.5" customHeight="1">
      <c r="A1" s="3" t="s">
        <v>6</v>
      </c>
      <c r="B1" s="1" t="s">
        <v>0</v>
      </c>
      <c r="C1" s="1" t="s">
        <v>1</v>
      </c>
      <c r="D1" s="1" t="s">
        <v>2</v>
      </c>
      <c r="E1" s="4" t="s">
        <v>7</v>
      </c>
      <c r="F1" s="4" t="s">
        <v>8</v>
      </c>
      <c r="G1" s="4" t="s">
        <v>9</v>
      </c>
      <c r="H1" s="1" t="s">
        <v>3</v>
      </c>
      <c r="I1" s="1" t="s">
        <v>4</v>
      </c>
      <c r="J1" s="1" t="s">
        <v>5</v>
      </c>
    </row>
    <row r="2" ht="22.5" hidden="1" customHeight="1">
      <c r="A2" s="5" t="str">
        <f t="shared" ref="A2:A16" si="1">CONCATENATE(B2,"-",C2,"-",D2)</f>
        <v>2024-12-3</v>
      </c>
      <c r="B2" s="6">
        <v>2024.0</v>
      </c>
      <c r="C2" s="6">
        <v>12.0</v>
      </c>
      <c r="D2" s="6">
        <v>3.0</v>
      </c>
      <c r="E2" s="6">
        <v>10.0</v>
      </c>
      <c r="F2" s="6" t="str">
        <f t="shared" ref="F2:F16" si="2">CONCATENATE(B2,"-",E2)</f>
        <v>2024-10</v>
      </c>
      <c r="G2" s="6" t="s">
        <v>10</v>
      </c>
      <c r="H2" s="6">
        <v>4084.0</v>
      </c>
      <c r="I2" s="6">
        <v>2514.0</v>
      </c>
      <c r="J2" s="6">
        <v>162.450278440731</v>
      </c>
    </row>
    <row r="3" ht="22.5" hidden="1" customHeight="1">
      <c r="A3" s="5" t="str">
        <f t="shared" si="1"/>
        <v>2025-12-2</v>
      </c>
      <c r="B3" s="7">
        <v>2025.0</v>
      </c>
      <c r="C3" s="7">
        <v>12.0</v>
      </c>
      <c r="D3" s="7">
        <v>2.0</v>
      </c>
      <c r="E3" s="6">
        <v>10.0</v>
      </c>
      <c r="F3" s="6" t="str">
        <f t="shared" si="2"/>
        <v>2025-10</v>
      </c>
      <c r="G3" s="6" t="s">
        <v>10</v>
      </c>
      <c r="H3" s="7">
        <v>3943.0</v>
      </c>
      <c r="I3" s="7">
        <v>2514.0</v>
      </c>
      <c r="J3" s="7">
        <v>156.84168655529</v>
      </c>
    </row>
    <row r="4" ht="22.5" hidden="1" customHeight="1">
      <c r="A4" s="5" t="str">
        <f t="shared" si="1"/>
        <v>2023-11-7</v>
      </c>
      <c r="B4" s="7">
        <v>2023.0</v>
      </c>
      <c r="C4" s="7">
        <v>11.0</v>
      </c>
      <c r="D4" s="7">
        <v>7.0</v>
      </c>
      <c r="E4" s="6">
        <v>7.0</v>
      </c>
      <c r="F4" s="6" t="str">
        <f t="shared" si="2"/>
        <v>2023-7</v>
      </c>
      <c r="G4" s="6" t="s">
        <v>11</v>
      </c>
      <c r="H4" s="7">
        <v>3704.0</v>
      </c>
      <c r="I4" s="7">
        <v>2514.0</v>
      </c>
      <c r="J4" s="7">
        <v>147.334924423229</v>
      </c>
    </row>
    <row r="5" ht="22.5" hidden="1" customHeight="1">
      <c r="A5" s="5" t="str">
        <f t="shared" si="1"/>
        <v>2023-11-28</v>
      </c>
      <c r="B5" s="7">
        <v>2023.0</v>
      </c>
      <c r="C5" s="7">
        <v>11.0</v>
      </c>
      <c r="D5" s="7">
        <v>28.0</v>
      </c>
      <c r="E5" s="6">
        <v>10.0</v>
      </c>
      <c r="F5" s="6" t="str">
        <f t="shared" si="2"/>
        <v>2023-10</v>
      </c>
      <c r="G5" s="6" t="s">
        <v>10</v>
      </c>
      <c r="H5" s="7">
        <v>3581.0</v>
      </c>
      <c r="I5" s="7">
        <v>2514.0</v>
      </c>
      <c r="J5" s="7">
        <v>142.442322991249</v>
      </c>
    </row>
    <row r="6" ht="22.5" hidden="1" customHeight="1">
      <c r="A6" s="5" t="str">
        <f t="shared" si="1"/>
        <v>2025-12-9</v>
      </c>
      <c r="B6" s="7">
        <v>2025.0</v>
      </c>
      <c r="C6" s="7">
        <v>12.0</v>
      </c>
      <c r="D6" s="7">
        <v>9.0</v>
      </c>
      <c r="E6" s="6">
        <v>11.0</v>
      </c>
      <c r="F6" s="6" t="str">
        <f t="shared" si="2"/>
        <v>2025-11</v>
      </c>
      <c r="G6" s="6" t="s">
        <v>10</v>
      </c>
      <c r="H6" s="7">
        <v>3545.0</v>
      </c>
      <c r="I6" s="7">
        <v>2514.0</v>
      </c>
      <c r="J6" s="7">
        <v>141.010342084327</v>
      </c>
    </row>
    <row r="7" ht="22.5" hidden="1" customHeight="1">
      <c r="A7" s="5" t="str">
        <f t="shared" si="1"/>
        <v>2025-11-11</v>
      </c>
      <c r="B7" s="7">
        <v>2025.0</v>
      </c>
      <c r="C7" s="7">
        <v>11.0</v>
      </c>
      <c r="D7" s="7">
        <v>11.0</v>
      </c>
      <c r="E7" s="6">
        <v>7.0</v>
      </c>
      <c r="F7" s="6" t="str">
        <f t="shared" si="2"/>
        <v>2025-7</v>
      </c>
      <c r="G7" s="6" t="s">
        <v>11</v>
      </c>
      <c r="H7" s="7">
        <v>3267.0</v>
      </c>
      <c r="I7" s="7">
        <v>2514.0</v>
      </c>
      <c r="J7" s="7">
        <v>129.952267303102</v>
      </c>
    </row>
    <row r="8" ht="22.5" hidden="1" customHeight="1">
      <c r="A8" s="5" t="str">
        <f t="shared" si="1"/>
        <v>2024-11-12</v>
      </c>
      <c r="B8" s="6">
        <v>2024.0</v>
      </c>
      <c r="C8" s="6">
        <v>11.0</v>
      </c>
      <c r="D8" s="6">
        <v>12.0</v>
      </c>
      <c r="E8" s="6">
        <v>7.0</v>
      </c>
      <c r="F8" s="6" t="str">
        <f t="shared" si="2"/>
        <v>2024-7</v>
      </c>
      <c r="G8" s="6" t="s">
        <v>11</v>
      </c>
      <c r="H8" s="6">
        <v>3222.0</v>
      </c>
      <c r="I8" s="6">
        <v>1257.0</v>
      </c>
      <c r="J8" s="6">
        <v>256.324582338902</v>
      </c>
    </row>
    <row r="9" ht="22.5" hidden="1" customHeight="1">
      <c r="A9" s="5" t="str">
        <f t="shared" si="1"/>
        <v>2024-12-10</v>
      </c>
      <c r="B9" s="6">
        <v>2024.0</v>
      </c>
      <c r="C9" s="6">
        <v>12.0</v>
      </c>
      <c r="D9" s="6">
        <v>10.0</v>
      </c>
      <c r="E9" s="6">
        <v>11.0</v>
      </c>
      <c r="F9" s="6" t="str">
        <f t="shared" si="2"/>
        <v>2024-11</v>
      </c>
      <c r="G9" s="6" t="s">
        <v>10</v>
      </c>
      <c r="H9" s="6">
        <v>3130.0</v>
      </c>
      <c r="I9" s="6">
        <v>2514.0</v>
      </c>
      <c r="J9" s="6">
        <v>124.502784407319</v>
      </c>
    </row>
    <row r="10" ht="22.5" hidden="1" customHeight="1">
      <c r="A10" s="5" t="str">
        <f t="shared" si="1"/>
        <v>2023-12-5</v>
      </c>
      <c r="B10" s="7">
        <v>2023.0</v>
      </c>
      <c r="C10" s="7">
        <v>12.0</v>
      </c>
      <c r="D10" s="7">
        <v>5.0</v>
      </c>
      <c r="E10" s="6">
        <v>11.0</v>
      </c>
      <c r="F10" s="6" t="str">
        <f t="shared" si="2"/>
        <v>2023-11</v>
      </c>
      <c r="G10" s="6" t="s">
        <v>10</v>
      </c>
      <c r="H10" s="7">
        <v>3032.0</v>
      </c>
      <c r="I10" s="7">
        <v>2514.0</v>
      </c>
      <c r="J10" s="7">
        <v>120.6046141607</v>
      </c>
    </row>
    <row r="11" ht="22.5" customHeight="1">
      <c r="A11" s="5" t="str">
        <f t="shared" si="1"/>
        <v>2025-11-4</v>
      </c>
      <c r="B11" s="7">
        <v>2025.0</v>
      </c>
      <c r="C11" s="7">
        <v>11.0</v>
      </c>
      <c r="D11" s="7">
        <v>4.0</v>
      </c>
      <c r="E11" s="6">
        <v>6.0</v>
      </c>
      <c r="F11" s="6" t="str">
        <f t="shared" si="2"/>
        <v>2025-6</v>
      </c>
      <c r="G11" s="6" t="s">
        <v>11</v>
      </c>
      <c r="H11" s="7">
        <v>2978.0</v>
      </c>
      <c r="I11" s="7">
        <v>2514.0</v>
      </c>
      <c r="J11" s="7">
        <v>118.456642800318</v>
      </c>
    </row>
    <row r="12" ht="22.5" customHeight="1">
      <c r="A12" s="5" t="str">
        <f t="shared" si="1"/>
        <v>2023-11-14</v>
      </c>
      <c r="B12" s="7">
        <v>2023.0</v>
      </c>
      <c r="C12" s="7">
        <v>11.0</v>
      </c>
      <c r="D12" s="7">
        <v>14.0</v>
      </c>
      <c r="E12" s="6">
        <v>8.0</v>
      </c>
      <c r="F12" s="6" t="str">
        <f t="shared" si="2"/>
        <v>2023-8</v>
      </c>
      <c r="G12" s="6" t="s">
        <v>11</v>
      </c>
      <c r="H12" s="7">
        <v>2961.0</v>
      </c>
      <c r="I12" s="7">
        <v>2514.0</v>
      </c>
      <c r="J12" s="7">
        <v>117.780429594272</v>
      </c>
    </row>
    <row r="13" ht="22.5" customHeight="1">
      <c r="A13" s="5" t="str">
        <f t="shared" si="1"/>
        <v>2024-11-19</v>
      </c>
      <c r="B13" s="6">
        <v>2024.0</v>
      </c>
      <c r="C13" s="6">
        <v>11.0</v>
      </c>
      <c r="D13" s="6">
        <v>19.0</v>
      </c>
      <c r="E13" s="6">
        <v>8.0</v>
      </c>
      <c r="F13" s="6" t="str">
        <f t="shared" si="2"/>
        <v>2024-8</v>
      </c>
      <c r="G13" s="6" t="s">
        <v>11</v>
      </c>
      <c r="H13" s="6">
        <v>2909.0</v>
      </c>
      <c r="I13" s="6">
        <v>2514.0</v>
      </c>
      <c r="J13" s="6">
        <v>115.712012728719</v>
      </c>
    </row>
    <row r="14" ht="22.5" customHeight="1">
      <c r="A14" s="5" t="str">
        <f t="shared" si="1"/>
        <v>2023-11-21</v>
      </c>
      <c r="B14" s="7">
        <v>2023.0</v>
      </c>
      <c r="C14" s="7">
        <v>11.0</v>
      </c>
      <c r="D14" s="7">
        <v>21.0</v>
      </c>
      <c r="E14" s="6">
        <v>9.0</v>
      </c>
      <c r="F14" s="6" t="str">
        <f t="shared" si="2"/>
        <v>2023-9</v>
      </c>
      <c r="G14" s="6" t="s">
        <v>11</v>
      </c>
      <c r="H14" s="7">
        <v>2707.0</v>
      </c>
      <c r="I14" s="7">
        <v>2514.0</v>
      </c>
      <c r="J14" s="7">
        <v>107.677008750994</v>
      </c>
    </row>
    <row r="15" ht="22.5" customHeight="1">
      <c r="A15" s="5" t="str">
        <f t="shared" si="1"/>
        <v>2024-11-5</v>
      </c>
      <c r="B15" s="6">
        <v>2024.0</v>
      </c>
      <c r="C15" s="6">
        <v>11.0</v>
      </c>
      <c r="D15" s="6">
        <v>5.0</v>
      </c>
      <c r="E15" s="6">
        <v>6.0</v>
      </c>
      <c r="F15" s="6" t="str">
        <f t="shared" si="2"/>
        <v>2024-6</v>
      </c>
      <c r="G15" s="6" t="s">
        <v>11</v>
      </c>
      <c r="H15" s="6">
        <v>2608.0</v>
      </c>
      <c r="I15" s="6">
        <v>1257.0</v>
      </c>
      <c r="J15" s="6">
        <v>207.478122513922</v>
      </c>
    </row>
    <row r="16" ht="22.5" customHeight="1">
      <c r="A16" s="5" t="str">
        <f t="shared" si="1"/>
        <v>2025-11-25</v>
      </c>
      <c r="B16" s="7">
        <v>2025.0</v>
      </c>
      <c r="C16" s="7">
        <v>11.0</v>
      </c>
      <c r="D16" s="7">
        <v>25.0</v>
      </c>
      <c r="E16" s="6">
        <v>9.0</v>
      </c>
      <c r="F16" s="6" t="str">
        <f t="shared" si="2"/>
        <v>2025-9</v>
      </c>
      <c r="G16" s="6" t="s">
        <v>11</v>
      </c>
      <c r="H16" s="7">
        <v>1973.0</v>
      </c>
      <c r="I16" s="7">
        <v>2514.0</v>
      </c>
      <c r="J16" s="7">
        <v>78.4805091487669</v>
      </c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ataValidations>
    <dataValidation type="custom" allowBlank="1" showDropDown="1" sqref="B2:D16 H2:J1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